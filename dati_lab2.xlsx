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_B = 100 uA OLD" sheetId="1" state="visible" r:id="rId3"/>
    <sheet name="I_B = 50 uA OLD" sheetId="2" state="visible" r:id="rId4"/>
    <sheet name="I_B = 100 uA ANALISI" sheetId="3" state="visible" r:id="rId5"/>
    <sheet name="I_B = 50 uA ANALIS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<sst xmlns="http://schemas.openxmlformats.org/spreadsheetml/2006/main" count="38" uniqueCount="20">
  <si>
    <t xml:space="preserve">TUTTO NEGATIVO COLIONI</t>
  </si>
  <si>
    <t xml:space="preserve">I_B</t>
  </si>
  <si>
    <t xml:space="preserve">-0.10</t>
  </si>
  <si>
    <t xml:space="preserve">mA</t>
  </si>
  <si>
    <t xml:space="preserve">stiamo aspettando tipo 3 sec tra misura oscillo e multi</t>
  </si>
  <si>
    <t xml:space="preserve">CANE PORCO MAIALE ULTIJMA MISURA PEDDAVERO</t>
  </si>
  <si>
    <t xml:space="preserve">adesso lo stiamo facendo scaldare finché la corrente non è stabile</t>
  </si>
  <si>
    <t xml:space="preserve">zero oscilloscopio:</t>
  </si>
  <si>
    <t xml:space="preserve">settato con 1mV/div</t>
  </si>
  <si>
    <t xml:space="preserve">V/div</t>
  </si>
  <si>
    <t xml:space="preserve">oscillo (V)</t>
  </si>
  <si>
    <t xml:space="preserve">amper (mA)</t>
  </si>
  <si>
    <t xml:space="preserve">V/div zero</t>
  </si>
  <si>
    <t xml:space="preserve">errore sullo zero (V)</t>
  </si>
  <si>
    <t xml:space="preserve">costante err digits (mA)</t>
  </si>
  <si>
    <t xml:space="preserve">errore costruttore (%)</t>
  </si>
  <si>
    <t xml:space="preserve">errore costr (%)</t>
  </si>
  <si>
    <t xml:space="preserve">I_C (mA)</t>
  </si>
  <si>
    <t xml:space="preserve">errore Oscillo (V)</t>
  </si>
  <si>
    <t xml:space="preserve">errore multi  (mA)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</si>
</sst>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#,##0.0000"/>
  </numFmts>
  <fonts count="10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b val="true"/>
      <sz val="12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100 uA OLD'!$F$5:$F$51</c:f>
              <c:numCache>
                <c:formatCode>General</c:formatCode>
                <c:ptCount val="47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1.6</c:v>
                </c:pt>
                <c:pt idx="7">
                  <c:v>1.2</c:v>
                </c:pt>
                <c:pt idx="8">
                  <c:v>1</c:v>
                </c:pt>
              </c:numCache>
            </c:numRef>
          </c:xVal>
          <c:yVal>
            <c:numRef>
              <c:f>'I_B = 100 uA OLD'!$G$5:$G$51</c:f>
              <c:numCache>
                <c:formatCode>General</c:formatCode>
                <c:ptCount val="47"/>
                <c:pt idx="0">
                  <c:v>18.6</c:v>
                </c:pt>
                <c:pt idx="1">
                  <c:v>19.19</c:v>
                </c:pt>
                <c:pt idx="2">
                  <c:v>19.31</c:v>
                </c:pt>
                <c:pt idx="3">
                  <c:v>19.41</c:v>
                </c:pt>
                <c:pt idx="4">
                  <c:v>19.04</c:v>
                </c:pt>
                <c:pt idx="5">
                  <c:v>18.67</c:v>
                </c:pt>
                <c:pt idx="6">
                  <c:v>18.34</c:v>
                </c:pt>
                <c:pt idx="7">
                  <c:v>17.73</c:v>
                </c:pt>
                <c:pt idx="8">
                  <c:v>17.67</c:v>
                </c:pt>
              </c:numCache>
            </c:numRef>
          </c:yVal>
          <c:smooth val="0"/>
        </c:ser>
        <c:axId val="44394600"/>
        <c:axId val="11731801"/>
      </c:scatterChart>
      <c:valAx>
        <c:axId val="4439460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1731801"/>
        <c:crosses val="autoZero"/>
        <c:crossBetween val="midCat"/>
      </c:valAx>
      <c:valAx>
        <c:axId val="117318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43946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100 uA OLD'!$K$5:$K$29</c:f>
              <c:numCache>
                <c:formatCode>General</c:formatCode>
                <c:ptCount val="25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</c:numCache>
            </c:numRef>
          </c:xVal>
          <c:yVal>
            <c:numRef>
              <c:f>'I_B = 100 uA OLD'!$L$20:$L$29</c:f>
              <c:numCache>
                <c:formatCode>General</c:formatCode>
                <c:ptCount val="10"/>
                <c:pt idx="0">
                  <c:v>16.97</c:v>
                </c:pt>
                <c:pt idx="1">
                  <c:v>17.01</c:v>
                </c:pt>
                <c:pt idx="2">
                  <c:v>16.91</c:v>
                </c:pt>
                <c:pt idx="3">
                  <c:v>16.72</c:v>
                </c:pt>
                <c:pt idx="4">
                  <c:v>15.73</c:v>
                </c:pt>
                <c:pt idx="5">
                  <c:v>15.3</c:v>
                </c:pt>
                <c:pt idx="6">
                  <c:v>14.96</c:v>
                </c:pt>
                <c:pt idx="7">
                  <c:v>14.4</c:v>
                </c:pt>
                <c:pt idx="8">
                  <c:v>14.43</c:v>
                </c:pt>
                <c:pt idx="9">
                  <c:v>13.36</c:v>
                </c:pt>
              </c:numCache>
            </c:numRef>
          </c:yVal>
          <c:smooth val="0"/>
        </c:ser>
        <c:axId val="78068332"/>
        <c:axId val="62833723"/>
      </c:scatterChart>
      <c:valAx>
        <c:axId val="7806833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2833723"/>
        <c:crosses val="autoZero"/>
        <c:crossBetween val="midCat"/>
      </c:valAx>
      <c:valAx>
        <c:axId val="6283372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806833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100 uA OLD'!$K$5:$K$31</c:f>
              <c:numCache>
                <c:formatCode>General</c:formatCode>
                <c:ptCount val="27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  <c:pt idx="25">
                  <c:v>0.2</c:v>
                </c:pt>
                <c:pt idx="26">
                  <c:v>0.15</c:v>
                </c:pt>
              </c:numCache>
            </c:numRef>
          </c:xVal>
          <c:yVal>
            <c:numRef>
              <c:f>'I_B = 100 uA OLD'!$L$5:$L$31</c:f>
              <c:numCache>
                <c:formatCode>General</c:formatCode>
                <c:ptCount val="27"/>
                <c:pt idx="0">
                  <c:v>20.38</c:v>
                </c:pt>
                <c:pt idx="1">
                  <c:v>19.97</c:v>
                </c:pt>
                <c:pt idx="2">
                  <c:v>19.96</c:v>
                </c:pt>
                <c:pt idx="3">
                  <c:v>19.7</c:v>
                </c:pt>
                <c:pt idx="4">
                  <c:v>19.45</c:v>
                </c:pt>
                <c:pt idx="5">
                  <c:v>18.38</c:v>
                </c:pt>
                <c:pt idx="7">
                  <c:v>18.66</c:v>
                </c:pt>
                <c:pt idx="9">
                  <c:v>18.05</c:v>
                </c:pt>
                <c:pt idx="10">
                  <c:v>17.89</c:v>
                </c:pt>
                <c:pt idx="11">
                  <c:v>17.7</c:v>
                </c:pt>
                <c:pt idx="12">
                  <c:v>17.51</c:v>
                </c:pt>
                <c:pt idx="13">
                  <c:v>17.36</c:v>
                </c:pt>
                <c:pt idx="14">
                  <c:v>17.22</c:v>
                </c:pt>
                <c:pt idx="15">
                  <c:v>16.97</c:v>
                </c:pt>
                <c:pt idx="16">
                  <c:v>17.01</c:v>
                </c:pt>
                <c:pt idx="17">
                  <c:v>16.91</c:v>
                </c:pt>
                <c:pt idx="18">
                  <c:v>16.72</c:v>
                </c:pt>
                <c:pt idx="19">
                  <c:v>15.73</c:v>
                </c:pt>
                <c:pt idx="20">
                  <c:v>15.3</c:v>
                </c:pt>
                <c:pt idx="21">
                  <c:v>14.96</c:v>
                </c:pt>
                <c:pt idx="22">
                  <c:v>14.4</c:v>
                </c:pt>
                <c:pt idx="23">
                  <c:v>14.43</c:v>
                </c:pt>
                <c:pt idx="24">
                  <c:v>13.36</c:v>
                </c:pt>
                <c:pt idx="25">
                  <c:v>11.02</c:v>
                </c:pt>
                <c:pt idx="26">
                  <c:v>6.73</c:v>
                </c:pt>
              </c:numCache>
            </c:numRef>
          </c:yVal>
          <c:smooth val="0"/>
        </c:ser>
        <c:axId val="25796283"/>
        <c:axId val="53921075"/>
      </c:scatterChart>
      <c:valAx>
        <c:axId val="2579628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3921075"/>
        <c:crosses val="autoZero"/>
        <c:crossBetween val="midCat"/>
      </c:valAx>
      <c:valAx>
        <c:axId val="5392107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579628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100 uA OLD'!$T$5:$T$36</c:f>
              <c:numCache>
                <c:formatCode>General</c:formatCode>
                <c:ptCount val="32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  <c:pt idx="25">
                  <c:v>0.2</c:v>
                </c:pt>
                <c:pt idx="26">
                  <c:v>0.15</c:v>
                </c:pt>
                <c:pt idx="27">
                  <c:v>0.12</c:v>
                </c:pt>
                <c:pt idx="28">
                  <c:v>0.1</c:v>
                </c:pt>
                <c:pt idx="29">
                  <c:v>0.08</c:v>
                </c:pt>
                <c:pt idx="30">
                  <c:v>0.06</c:v>
                </c:pt>
                <c:pt idx="31">
                  <c:v>0.05</c:v>
                </c:pt>
              </c:numCache>
            </c:numRef>
          </c:xVal>
          <c:yVal>
            <c:numRef>
              <c:f>'I_B = 100 uA OLD'!$U$5:$U$36</c:f>
              <c:numCache>
                <c:formatCode>General</c:formatCode>
                <c:ptCount val="32"/>
                <c:pt idx="0">
                  <c:v>20.1</c:v>
                </c:pt>
                <c:pt idx="1">
                  <c:v>19.8</c:v>
                </c:pt>
                <c:pt idx="2">
                  <c:v>19.54</c:v>
                </c:pt>
                <c:pt idx="3">
                  <c:v>19.17</c:v>
                </c:pt>
                <c:pt idx="4">
                  <c:v>19.05</c:v>
                </c:pt>
                <c:pt idx="5">
                  <c:v>18.81</c:v>
                </c:pt>
                <c:pt idx="6">
                  <c:v>18.58</c:v>
                </c:pt>
                <c:pt idx="7">
                  <c:v>18.4</c:v>
                </c:pt>
                <c:pt idx="8">
                  <c:v>18.19</c:v>
                </c:pt>
                <c:pt idx="9">
                  <c:v>18.06</c:v>
                </c:pt>
                <c:pt idx="10">
                  <c:v>17.81</c:v>
                </c:pt>
                <c:pt idx="11">
                  <c:v>17.65</c:v>
                </c:pt>
                <c:pt idx="12">
                  <c:v>17.53</c:v>
                </c:pt>
                <c:pt idx="13">
                  <c:v>17.38</c:v>
                </c:pt>
                <c:pt idx="14">
                  <c:v>17.25</c:v>
                </c:pt>
                <c:pt idx="15">
                  <c:v>17.14</c:v>
                </c:pt>
                <c:pt idx="16">
                  <c:v>17</c:v>
                </c:pt>
                <c:pt idx="17">
                  <c:v>16.86</c:v>
                </c:pt>
                <c:pt idx="18">
                  <c:v>16.77</c:v>
                </c:pt>
                <c:pt idx="19">
                  <c:v>16.45</c:v>
                </c:pt>
                <c:pt idx="20">
                  <c:v>16.19</c:v>
                </c:pt>
                <c:pt idx="21">
                  <c:v>15.83</c:v>
                </c:pt>
                <c:pt idx="22">
                  <c:v>15.2</c:v>
                </c:pt>
                <c:pt idx="23">
                  <c:v>15.13</c:v>
                </c:pt>
                <c:pt idx="24">
                  <c:v>14</c:v>
                </c:pt>
                <c:pt idx="25">
                  <c:v>11.56</c:v>
                </c:pt>
                <c:pt idx="26">
                  <c:v>7</c:v>
                </c:pt>
                <c:pt idx="27">
                  <c:v>4.88</c:v>
                </c:pt>
                <c:pt idx="28">
                  <c:v>2.94</c:v>
                </c:pt>
                <c:pt idx="29">
                  <c:v>1.6</c:v>
                </c:pt>
                <c:pt idx="30">
                  <c:v>0.85</c:v>
                </c:pt>
                <c:pt idx="31">
                  <c:v>0.54</c:v>
                </c:pt>
              </c:numCache>
            </c:numRef>
          </c:yVal>
          <c:smooth val="0"/>
        </c:ser>
        <c:axId val="93944877"/>
        <c:axId val="56354297"/>
      </c:scatterChart>
      <c:valAx>
        <c:axId val="9394487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6354297"/>
        <c:crosses val="autoZero"/>
        <c:crossBetween val="midCat"/>
      </c:valAx>
      <c:valAx>
        <c:axId val="563542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394487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50 uA OLD'!$C$7:$C$38</c:f>
              <c:numCache>
                <c:formatCode>General</c:formatCode>
                <c:ptCount val="32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  <c:pt idx="25">
                  <c:v>0.2</c:v>
                </c:pt>
                <c:pt idx="26">
                  <c:v>0.15</c:v>
                </c:pt>
                <c:pt idx="27">
                  <c:v>0.12</c:v>
                </c:pt>
                <c:pt idx="28">
                  <c:v>0.1</c:v>
                </c:pt>
                <c:pt idx="29">
                  <c:v>0.08</c:v>
                </c:pt>
                <c:pt idx="30">
                  <c:v>0.06</c:v>
                </c:pt>
                <c:pt idx="31">
                  <c:v>0.05</c:v>
                </c:pt>
              </c:numCache>
            </c:numRef>
          </c:xVal>
          <c:yVal>
            <c:numRef>
              <c:f>'I_B = 50 uA OLD'!$D$7:$D$38</c:f>
              <c:numCache>
                <c:formatCode>General</c:formatCode>
                <c:ptCount val="32"/>
                <c:pt idx="0">
                  <c:v>9.93</c:v>
                </c:pt>
                <c:pt idx="1">
                  <c:v>9.82</c:v>
                </c:pt>
                <c:pt idx="2">
                  <c:v>9.71</c:v>
                </c:pt>
                <c:pt idx="3">
                  <c:v>9.62</c:v>
                </c:pt>
                <c:pt idx="4">
                  <c:v>9.47</c:v>
                </c:pt>
                <c:pt idx="5">
                  <c:v>9.31</c:v>
                </c:pt>
                <c:pt idx="6">
                  <c:v>9.21</c:v>
                </c:pt>
                <c:pt idx="7">
                  <c:v>9.12</c:v>
                </c:pt>
                <c:pt idx="8">
                  <c:v>9.05</c:v>
                </c:pt>
                <c:pt idx="9">
                  <c:v>8.98</c:v>
                </c:pt>
                <c:pt idx="10">
                  <c:v>8.88</c:v>
                </c:pt>
                <c:pt idx="11">
                  <c:v>8.82</c:v>
                </c:pt>
                <c:pt idx="12">
                  <c:v>8.78</c:v>
                </c:pt>
                <c:pt idx="13">
                  <c:v>8.73</c:v>
                </c:pt>
                <c:pt idx="14">
                  <c:v>8.68</c:v>
                </c:pt>
                <c:pt idx="15">
                  <c:v>8.66</c:v>
                </c:pt>
                <c:pt idx="16">
                  <c:v>8.59</c:v>
                </c:pt>
                <c:pt idx="17">
                  <c:v>8.57</c:v>
                </c:pt>
                <c:pt idx="18">
                  <c:v>8.55</c:v>
                </c:pt>
              </c:numCache>
            </c:numRef>
          </c:yVal>
          <c:smooth val="0"/>
        </c:ser>
        <c:axId val="72364038"/>
        <c:axId val="5629232"/>
      </c:scatterChart>
      <c:valAx>
        <c:axId val="7236403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629232"/>
        <c:crosses val="autoZero"/>
        <c:crossBetween val="midCat"/>
      </c:valAx>
      <c:valAx>
        <c:axId val="56292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236403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50 uA OLD'!$G$7:$G$38</c:f>
              <c:numCache>
                <c:formatCode>General</c:formatCode>
                <c:ptCount val="32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  <c:pt idx="25">
                  <c:v>0.2</c:v>
                </c:pt>
                <c:pt idx="26">
                  <c:v>0.15</c:v>
                </c:pt>
                <c:pt idx="27">
                  <c:v>0.12</c:v>
                </c:pt>
                <c:pt idx="28">
                  <c:v>0.1</c:v>
                </c:pt>
                <c:pt idx="29">
                  <c:v>0.08</c:v>
                </c:pt>
                <c:pt idx="30">
                  <c:v>0.06</c:v>
                </c:pt>
                <c:pt idx="31">
                  <c:v>0.05</c:v>
                </c:pt>
              </c:numCache>
            </c:numRef>
          </c:xVal>
          <c:yVal>
            <c:numRef>
              <c:f>'I_B = 50 uA OLD'!$H$7:$H$38</c:f>
              <c:numCache>
                <c:formatCode>General</c:formatCode>
                <c:ptCount val="32"/>
                <c:pt idx="0">
                  <c:v>9.78</c:v>
                </c:pt>
                <c:pt idx="1">
                  <c:v>9.7</c:v>
                </c:pt>
                <c:pt idx="2">
                  <c:v>9.58</c:v>
                </c:pt>
                <c:pt idx="3">
                  <c:v>9.48</c:v>
                </c:pt>
                <c:pt idx="4">
                  <c:v>9.31</c:v>
                </c:pt>
                <c:pt idx="5">
                  <c:v>9.15</c:v>
                </c:pt>
                <c:pt idx="6">
                  <c:v>9.05</c:v>
                </c:pt>
                <c:pt idx="7">
                  <c:v>8.98</c:v>
                </c:pt>
                <c:pt idx="8">
                  <c:v>8.91</c:v>
                </c:pt>
                <c:pt idx="9">
                  <c:v>8.86</c:v>
                </c:pt>
                <c:pt idx="10">
                  <c:v>8.77</c:v>
                </c:pt>
                <c:pt idx="11">
                  <c:v>8.72</c:v>
                </c:pt>
                <c:pt idx="12">
                  <c:v>8.68</c:v>
                </c:pt>
                <c:pt idx="13">
                  <c:v>8.62</c:v>
                </c:pt>
                <c:pt idx="14">
                  <c:v>8.58</c:v>
                </c:pt>
                <c:pt idx="15">
                  <c:v>8.55</c:v>
                </c:pt>
                <c:pt idx="16">
                  <c:v>8.51</c:v>
                </c:pt>
                <c:pt idx="17">
                  <c:v>8.49</c:v>
                </c:pt>
                <c:pt idx="18">
                  <c:v>8.46</c:v>
                </c:pt>
                <c:pt idx="19">
                  <c:v>8.42</c:v>
                </c:pt>
                <c:pt idx="20">
                  <c:v>8.38</c:v>
                </c:pt>
                <c:pt idx="21">
                  <c:v>8.33</c:v>
                </c:pt>
                <c:pt idx="22">
                  <c:v>8.24</c:v>
                </c:pt>
                <c:pt idx="23">
                  <c:v>8.22</c:v>
                </c:pt>
                <c:pt idx="24">
                  <c:v>7.86</c:v>
                </c:pt>
                <c:pt idx="25">
                  <c:v>6.66</c:v>
                </c:pt>
                <c:pt idx="26">
                  <c:v>3.95</c:v>
                </c:pt>
                <c:pt idx="27">
                  <c:v>2.62</c:v>
                </c:pt>
                <c:pt idx="28">
                  <c:v>1.52</c:v>
                </c:pt>
                <c:pt idx="29">
                  <c:v>0.8</c:v>
                </c:pt>
                <c:pt idx="30">
                  <c:v>0.41</c:v>
                </c:pt>
                <c:pt idx="31">
                  <c:v>0.25</c:v>
                </c:pt>
              </c:numCache>
            </c:numRef>
          </c:yVal>
          <c:smooth val="0"/>
        </c:ser>
        <c:axId val="53681958"/>
        <c:axId val="31348650"/>
      </c:scatterChart>
      <c:valAx>
        <c:axId val="5368195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1348650"/>
        <c:crosses val="autoZero"/>
        <c:crossBetween val="midCat"/>
      </c:valAx>
      <c:valAx>
        <c:axId val="313486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368195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8630539408713"/>
          <c:y val="0.0510612290254472"/>
          <c:w val="0.729170573160823"/>
          <c:h val="0.865985109456606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100 uA ANALISI'!$D$10:$D$41</c:f>
              <c:numCache>
                <c:formatCode>#,##0.00</c:formatCode>
                <c:ptCount val="32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  <c:pt idx="25">
                  <c:v>0.2</c:v>
                </c:pt>
                <c:pt idx="26">
                  <c:v>0.15</c:v>
                </c:pt>
                <c:pt idx="27">
                  <c:v>0.12</c:v>
                </c:pt>
                <c:pt idx="28">
                  <c:v>0.1</c:v>
                </c:pt>
                <c:pt idx="29">
                  <c:v>0.08</c:v>
                </c:pt>
                <c:pt idx="30">
                  <c:v>0.06</c:v>
                </c:pt>
                <c:pt idx="31">
                  <c:v>0.05</c:v>
                </c:pt>
              </c:numCache>
            </c:numRef>
          </c:xVal>
          <c:yVal>
            <c:numRef>
              <c:f>'I_B = 100 uA ANALISI'!$E$10:$E$41</c:f>
              <c:numCache>
                <c:formatCode>#,##0.00</c:formatCode>
                <c:ptCount val="32"/>
                <c:pt idx="0">
                  <c:v>20.1</c:v>
                </c:pt>
                <c:pt idx="1">
                  <c:v>19.8</c:v>
                </c:pt>
                <c:pt idx="2">
                  <c:v>19.54</c:v>
                </c:pt>
                <c:pt idx="3">
                  <c:v>19.17</c:v>
                </c:pt>
                <c:pt idx="4">
                  <c:v>19.05</c:v>
                </c:pt>
                <c:pt idx="5">
                  <c:v>18.81</c:v>
                </c:pt>
                <c:pt idx="6">
                  <c:v>18.58</c:v>
                </c:pt>
                <c:pt idx="7">
                  <c:v>18.4</c:v>
                </c:pt>
                <c:pt idx="8">
                  <c:v>18.19</c:v>
                </c:pt>
                <c:pt idx="9">
                  <c:v>18.06</c:v>
                </c:pt>
                <c:pt idx="10">
                  <c:v>17.81</c:v>
                </c:pt>
                <c:pt idx="11">
                  <c:v>17.65</c:v>
                </c:pt>
                <c:pt idx="12">
                  <c:v>17.53</c:v>
                </c:pt>
                <c:pt idx="13">
                  <c:v>17.38</c:v>
                </c:pt>
                <c:pt idx="14">
                  <c:v>17.25</c:v>
                </c:pt>
                <c:pt idx="15">
                  <c:v>17.14</c:v>
                </c:pt>
                <c:pt idx="16">
                  <c:v>17</c:v>
                </c:pt>
                <c:pt idx="17">
                  <c:v>16.86</c:v>
                </c:pt>
                <c:pt idx="18">
                  <c:v>16.77</c:v>
                </c:pt>
                <c:pt idx="19">
                  <c:v>16.45</c:v>
                </c:pt>
                <c:pt idx="20">
                  <c:v>16.19</c:v>
                </c:pt>
                <c:pt idx="21">
                  <c:v>15.83</c:v>
                </c:pt>
                <c:pt idx="22">
                  <c:v>15.2</c:v>
                </c:pt>
                <c:pt idx="23">
                  <c:v>15.13</c:v>
                </c:pt>
                <c:pt idx="24">
                  <c:v>14</c:v>
                </c:pt>
                <c:pt idx="25">
                  <c:v>11.56</c:v>
                </c:pt>
                <c:pt idx="26">
                  <c:v>7</c:v>
                </c:pt>
                <c:pt idx="27">
                  <c:v>4.88</c:v>
                </c:pt>
                <c:pt idx="28">
                  <c:v>2.94</c:v>
                </c:pt>
                <c:pt idx="29">
                  <c:v>1.6</c:v>
                </c:pt>
                <c:pt idx="30">
                  <c:v>0.85</c:v>
                </c:pt>
                <c:pt idx="31">
                  <c:v>0.54</c:v>
                </c:pt>
              </c:numCache>
            </c:numRef>
          </c:yVal>
          <c:smooth val="0"/>
        </c:ser>
        <c:axId val="24010535"/>
        <c:axId val="1673608"/>
      </c:scatterChart>
      <c:valAx>
        <c:axId val="24010535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73608"/>
        <c:crosses val="autoZero"/>
        <c:crossBetween val="between"/>
      </c:valAx>
      <c:valAx>
        <c:axId val="16736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01053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609480</xdr:colOff>
      <xdr:row>23</xdr:row>
      <xdr:rowOff>173520</xdr:rowOff>
    </xdr:from>
    <xdr:to>
      <xdr:col>6</xdr:col>
      <xdr:colOff>126360</xdr:colOff>
      <xdr:row>37</xdr:row>
      <xdr:rowOff>71640</xdr:rowOff>
    </xdr:to>
    <xdr:graphicFrame>
      <xdr:nvGraphicFramePr>
        <xdr:cNvPr id="0" name="Grafico 1"/>
        <xdr:cNvGraphicFramePr/>
      </xdr:nvGraphicFramePr>
      <xdr:xfrm>
        <a:off x="1527120" y="4773960"/>
        <a:ext cx="519768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10</xdr:row>
      <xdr:rowOff>114480</xdr:rowOff>
    </xdr:from>
    <xdr:to>
      <xdr:col>4</xdr:col>
      <xdr:colOff>346680</xdr:colOff>
      <xdr:row>24</xdr:row>
      <xdr:rowOff>12600</xdr:rowOff>
    </xdr:to>
    <xdr:graphicFrame>
      <xdr:nvGraphicFramePr>
        <xdr:cNvPr id="1" name="Grafico 3"/>
        <xdr:cNvGraphicFramePr/>
      </xdr:nvGraphicFramePr>
      <xdr:xfrm>
        <a:off x="0" y="2114640"/>
        <a:ext cx="510984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804240</xdr:colOff>
      <xdr:row>4</xdr:row>
      <xdr:rowOff>63360</xdr:rowOff>
    </xdr:from>
    <xdr:to>
      <xdr:col>9</xdr:col>
      <xdr:colOff>397440</xdr:colOff>
      <xdr:row>17</xdr:row>
      <xdr:rowOff>164520</xdr:rowOff>
    </xdr:to>
    <xdr:graphicFrame>
      <xdr:nvGraphicFramePr>
        <xdr:cNvPr id="2" name="Grafico 4"/>
        <xdr:cNvGraphicFramePr/>
      </xdr:nvGraphicFramePr>
      <xdr:xfrm>
        <a:off x="4649760" y="863640"/>
        <a:ext cx="5098680" cy="270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579960</xdr:colOff>
      <xdr:row>4</xdr:row>
      <xdr:rowOff>21240</xdr:rowOff>
    </xdr:from>
    <xdr:to>
      <xdr:col>18</xdr:col>
      <xdr:colOff>173160</xdr:colOff>
      <xdr:row>17</xdr:row>
      <xdr:rowOff>122400</xdr:rowOff>
    </xdr:to>
    <xdr:graphicFrame>
      <xdr:nvGraphicFramePr>
        <xdr:cNvPr id="3" name="Grafico 5"/>
        <xdr:cNvGraphicFramePr/>
      </xdr:nvGraphicFramePr>
      <xdr:xfrm>
        <a:off x="12683520" y="821520"/>
        <a:ext cx="5098680" cy="270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129600</xdr:rowOff>
    </xdr:from>
    <xdr:to>
      <xdr:col>5</xdr:col>
      <xdr:colOff>444240</xdr:colOff>
      <xdr:row>26</xdr:row>
      <xdr:rowOff>78480</xdr:rowOff>
    </xdr:to>
    <xdr:graphicFrame>
      <xdr:nvGraphicFramePr>
        <xdr:cNvPr id="4" name="Grafico 1"/>
        <xdr:cNvGraphicFramePr/>
      </xdr:nvGraphicFramePr>
      <xdr:xfrm>
        <a:off x="0" y="2530080"/>
        <a:ext cx="5032080" cy="274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535320</xdr:colOff>
      <xdr:row>12</xdr:row>
      <xdr:rowOff>93600</xdr:rowOff>
    </xdr:from>
    <xdr:to>
      <xdr:col>14</xdr:col>
      <xdr:colOff>154080</xdr:colOff>
      <xdr:row>26</xdr:row>
      <xdr:rowOff>42480</xdr:rowOff>
    </xdr:to>
    <xdr:graphicFrame>
      <xdr:nvGraphicFramePr>
        <xdr:cNvPr id="5" name="Grafico 2"/>
        <xdr:cNvGraphicFramePr/>
      </xdr:nvGraphicFramePr>
      <xdr:xfrm>
        <a:off x="7876080" y="2494080"/>
        <a:ext cx="5123880" cy="274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205920</xdr:colOff>
      <xdr:row>10</xdr:row>
      <xdr:rowOff>123840</xdr:rowOff>
    </xdr:from>
    <xdr:to>
      <xdr:col>15</xdr:col>
      <xdr:colOff>276120</xdr:colOff>
      <xdr:row>27</xdr:row>
      <xdr:rowOff>124920</xdr:rowOff>
    </xdr:to>
    <xdr:graphicFrame>
      <xdr:nvGraphicFramePr>
        <xdr:cNvPr id="6" name=""/>
        <xdr:cNvGraphicFramePr/>
      </xdr:nvGraphicFramePr>
      <xdr:xfrm>
        <a:off x="9713880" y="20422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36"/>
  <sheetViews>
    <sheetView showFormulas="false" showGridLines="true" showRowColHeaders="true" showZeros="true" rightToLeft="false" tabSelected="false" showOutlineSymbols="true" defaultGridColor="true" view="normal" topLeftCell="M1" colorId="64" zoomScale="68" zoomScaleNormal="68" zoomScalePageLayoutView="100" workbookViewId="0">
      <selection pane="topLeft" activeCell="S4" activeCellId="0" sqref="S4"/>
    </sheetView>
  </sheetViews>
  <sheetFormatPr defaultColWidth="10.55078125" defaultRowHeight="15.75" zeroHeight="false" outlineLevelRow="0" outlineLevelCol="0"/>
  <cols>
    <col collapsed="false" customWidth="true" hidden="false" outlineLevel="0" max="2" min="2" style="0" width="16.33"/>
    <col collapsed="false" customWidth="true" hidden="false" outlineLevel="0" max="3" min="3" style="0" width="17.33"/>
  </cols>
  <sheetData>
    <row r="1" customFormat="false" ht="15.75" hidden="false" customHeight="false" outlineLevel="0" collapsed="false">
      <c r="B1" s="0" t="s">
        <v>0</v>
      </c>
    </row>
    <row r="2" customFormat="false" ht="15.75" hidden="false" customHeight="false" outlineLevel="0" collapsed="false">
      <c r="B2" s="0" t="s">
        <v>1</v>
      </c>
      <c r="C2" s="1" t="s">
        <v>2</v>
      </c>
      <c r="D2" s="2" t="s">
        <v>3</v>
      </c>
      <c r="J2" s="2" t="s">
        <v>4</v>
      </c>
      <c r="S2" s="2" t="s">
        <v>5</v>
      </c>
    </row>
    <row r="3" customFormat="false" ht="15.75" hidden="false" customHeight="false" outlineLevel="0" collapsed="false">
      <c r="S3" s="0" t="s">
        <v>6</v>
      </c>
    </row>
    <row r="4" customFormat="false" ht="15.75" hidden="false" customHeight="false" outlineLevel="0" collapsed="false">
      <c r="B4" s="0" t="s">
        <v>7</v>
      </c>
      <c r="C4" s="0" t="s">
        <v>8</v>
      </c>
      <c r="E4" s="0" t="s">
        <v>9</v>
      </c>
      <c r="J4" s="0" t="s">
        <v>9</v>
      </c>
      <c r="K4" s="0" t="s">
        <v>10</v>
      </c>
      <c r="S4" s="3" t="s">
        <v>9</v>
      </c>
      <c r="T4" s="3" t="s">
        <v>10</v>
      </c>
    </row>
    <row r="5" customFormat="false" ht="15.75" hidden="false" customHeight="false" outlineLevel="0" collapsed="false">
      <c r="E5" s="0" t="n">
        <v>1</v>
      </c>
      <c r="F5" s="0" t="n">
        <v>4</v>
      </c>
      <c r="G5" s="0" t="n">
        <v>18.6</v>
      </c>
      <c r="J5" s="0" t="n">
        <v>1</v>
      </c>
      <c r="K5" s="0" t="n">
        <v>4</v>
      </c>
      <c r="L5" s="0" t="n">
        <v>20.38</v>
      </c>
      <c r="S5" s="3" t="n">
        <v>1</v>
      </c>
      <c r="T5" s="3" t="n">
        <v>4</v>
      </c>
      <c r="U5" s="0" t="n">
        <v>20.1</v>
      </c>
    </row>
    <row r="6" customFormat="false" ht="15.75" hidden="false" customHeight="false" outlineLevel="0" collapsed="false">
      <c r="E6" s="0" t="n">
        <v>1</v>
      </c>
      <c r="F6" s="0" t="n">
        <v>3.6</v>
      </c>
      <c r="G6" s="0" t="n">
        <v>19.19</v>
      </c>
      <c r="J6" s="0" t="n">
        <v>1</v>
      </c>
      <c r="K6" s="0" t="n">
        <v>3.6</v>
      </c>
      <c r="L6" s="0" t="n">
        <v>19.97</v>
      </c>
      <c r="S6" s="3" t="n">
        <v>1</v>
      </c>
      <c r="T6" s="3" t="n">
        <v>3.6</v>
      </c>
      <c r="U6" s="0" t="n">
        <v>19.8</v>
      </c>
    </row>
    <row r="7" customFormat="false" ht="15.75" hidden="false" customHeight="false" outlineLevel="0" collapsed="false">
      <c r="E7" s="0" t="n">
        <v>0.5</v>
      </c>
      <c r="F7" s="0" t="n">
        <v>3.2</v>
      </c>
      <c r="G7" s="0" t="n">
        <v>19.31</v>
      </c>
      <c r="J7" s="0" t="n">
        <v>0.5</v>
      </c>
      <c r="K7" s="0" t="n">
        <v>3.2</v>
      </c>
      <c r="L7" s="0" t="n">
        <v>19.96</v>
      </c>
      <c r="S7" s="3" t="n">
        <v>1</v>
      </c>
      <c r="T7" s="3" t="n">
        <v>3.2</v>
      </c>
      <c r="U7" s="0" t="n">
        <v>19.54</v>
      </c>
    </row>
    <row r="8" customFormat="false" ht="15.75" hidden="false" customHeight="false" outlineLevel="0" collapsed="false">
      <c r="E8" s="0" t="n">
        <v>0.5</v>
      </c>
      <c r="F8" s="0" t="n">
        <v>2.8</v>
      </c>
      <c r="G8" s="0" t="n">
        <v>19.41</v>
      </c>
      <c r="J8" s="0" t="n">
        <v>0.5</v>
      </c>
      <c r="K8" s="0" t="n">
        <v>2.8</v>
      </c>
      <c r="L8" s="0" t="n">
        <v>19.7</v>
      </c>
      <c r="S8" s="3" t="n">
        <v>0.5</v>
      </c>
      <c r="T8" s="3" t="n">
        <v>2.8</v>
      </c>
      <c r="U8" s="0" t="n">
        <v>19.17</v>
      </c>
    </row>
    <row r="9" customFormat="false" ht="15.75" hidden="false" customHeight="false" outlineLevel="0" collapsed="false">
      <c r="E9" s="0" t="n">
        <v>0.5</v>
      </c>
      <c r="F9" s="0" t="n">
        <v>2.4</v>
      </c>
      <c r="G9" s="0" t="n">
        <v>19.04</v>
      </c>
      <c r="J9" s="0" t="n">
        <v>0.5</v>
      </c>
      <c r="K9" s="0" t="n">
        <v>2.4</v>
      </c>
      <c r="L9" s="0" t="n">
        <v>19.45</v>
      </c>
      <c r="S9" s="3" t="n">
        <v>0.5</v>
      </c>
      <c r="T9" s="3" t="n">
        <v>2.4</v>
      </c>
      <c r="U9" s="0" t="n">
        <v>19.05</v>
      </c>
    </row>
    <row r="10" customFormat="false" ht="15.75" hidden="false" customHeight="false" outlineLevel="0" collapsed="false">
      <c r="E10" s="0" t="n">
        <v>0.5</v>
      </c>
      <c r="F10" s="0" t="n">
        <v>2</v>
      </c>
      <c r="G10" s="0" t="n">
        <v>18.67</v>
      </c>
      <c r="J10" s="0" t="n">
        <v>0.5</v>
      </c>
      <c r="K10" s="0" t="n">
        <v>2</v>
      </c>
      <c r="L10" s="0" t="n">
        <v>18.38</v>
      </c>
      <c r="S10" s="3" t="n">
        <v>0.5</v>
      </c>
      <c r="T10" s="3" t="n">
        <v>2</v>
      </c>
      <c r="U10" s="0" t="n">
        <v>18.81</v>
      </c>
    </row>
    <row r="11" customFormat="false" ht="15.75" hidden="false" customHeight="false" outlineLevel="0" collapsed="false">
      <c r="E11" s="0" t="n">
        <v>0.5</v>
      </c>
      <c r="F11" s="0" t="n">
        <v>1.6</v>
      </c>
      <c r="G11" s="0" t="n">
        <v>18.34</v>
      </c>
      <c r="J11" s="0" t="n">
        <v>0.5</v>
      </c>
      <c r="K11" s="0" t="n">
        <v>1.8</v>
      </c>
      <c r="S11" s="3" t="n">
        <v>0.5</v>
      </c>
      <c r="T11" s="3" t="n">
        <v>1.8</v>
      </c>
      <c r="U11" s="0" t="n">
        <v>18.58</v>
      </c>
    </row>
    <row r="12" customFormat="false" ht="15.75" hidden="false" customHeight="false" outlineLevel="0" collapsed="false">
      <c r="E12" s="0" t="n">
        <v>0.2</v>
      </c>
      <c r="F12" s="0" t="n">
        <v>1.2</v>
      </c>
      <c r="G12" s="0" t="n">
        <v>17.73</v>
      </c>
      <c r="J12" s="0" t="n">
        <v>0.5</v>
      </c>
      <c r="K12" s="0" t="n">
        <v>1.6</v>
      </c>
      <c r="L12" s="0" t="n">
        <v>18.66</v>
      </c>
      <c r="S12" s="3" t="n">
        <v>0.5</v>
      </c>
      <c r="T12" s="3" t="n">
        <v>1.6</v>
      </c>
      <c r="U12" s="0" t="n">
        <v>18.4</v>
      </c>
    </row>
    <row r="13" customFormat="false" ht="15.75" hidden="false" customHeight="false" outlineLevel="0" collapsed="false">
      <c r="E13" s="0" t="n">
        <v>0.2</v>
      </c>
      <c r="F13" s="0" t="n">
        <v>1</v>
      </c>
      <c r="G13" s="0" t="n">
        <v>17.67</v>
      </c>
      <c r="J13" s="0" t="n">
        <v>0.5</v>
      </c>
      <c r="K13" s="0" t="n">
        <v>1.4</v>
      </c>
      <c r="S13" s="3" t="n">
        <v>0.5</v>
      </c>
      <c r="T13" s="3" t="n">
        <v>1.4</v>
      </c>
      <c r="U13" s="0" t="n">
        <v>18.19</v>
      </c>
    </row>
    <row r="14" customFormat="false" ht="15.75" hidden="false" customHeight="false" outlineLevel="0" collapsed="false">
      <c r="J14" s="0" t="n">
        <v>0.2</v>
      </c>
      <c r="K14" s="0" t="n">
        <v>1.2</v>
      </c>
      <c r="L14" s="0" t="n">
        <v>18.05</v>
      </c>
      <c r="S14" s="3" t="n">
        <v>0.2</v>
      </c>
      <c r="T14" s="3" t="n">
        <v>1.2</v>
      </c>
      <c r="U14" s="0" t="n">
        <v>18.06</v>
      </c>
    </row>
    <row r="15" customFormat="false" ht="15.75" hidden="false" customHeight="false" outlineLevel="0" collapsed="false">
      <c r="J15" s="0" t="n">
        <v>0.2</v>
      </c>
      <c r="K15" s="0" t="n">
        <v>1</v>
      </c>
      <c r="L15" s="0" t="n">
        <v>17.89</v>
      </c>
      <c r="S15" s="3" t="n">
        <v>0.2</v>
      </c>
      <c r="T15" s="3" t="n">
        <v>1</v>
      </c>
      <c r="U15" s="0" t="n">
        <v>17.81</v>
      </c>
    </row>
    <row r="16" customFormat="false" ht="15.75" hidden="false" customHeight="false" outlineLevel="0" collapsed="false">
      <c r="J16" s="0" t="n">
        <v>0.2</v>
      </c>
      <c r="K16" s="0" t="n">
        <v>0.92</v>
      </c>
      <c r="L16" s="0" t="n">
        <v>17.7</v>
      </c>
      <c r="S16" s="3" t="n">
        <v>0.2</v>
      </c>
      <c r="T16" s="3" t="n">
        <v>0.92</v>
      </c>
      <c r="U16" s="0" t="n">
        <v>17.65</v>
      </c>
    </row>
    <row r="17" customFormat="false" ht="15.75" hidden="false" customHeight="false" outlineLevel="0" collapsed="false">
      <c r="J17" s="0" t="n">
        <v>0.2</v>
      </c>
      <c r="K17" s="0" t="n">
        <v>0.84</v>
      </c>
      <c r="L17" s="0" t="n">
        <v>17.51</v>
      </c>
      <c r="S17" s="3" t="n">
        <v>0.2</v>
      </c>
      <c r="T17" s="3" t="n">
        <v>0.84</v>
      </c>
      <c r="U17" s="0" t="n">
        <v>17.53</v>
      </c>
    </row>
    <row r="18" customFormat="false" ht="15.75" hidden="false" customHeight="false" outlineLevel="0" collapsed="false">
      <c r="J18" s="0" t="n">
        <v>0.2</v>
      </c>
      <c r="K18" s="0" t="n">
        <v>0.76</v>
      </c>
      <c r="L18" s="0" t="n">
        <v>17.36</v>
      </c>
      <c r="S18" s="3" t="n">
        <v>0.2</v>
      </c>
      <c r="T18" s="3" t="n">
        <v>0.76</v>
      </c>
      <c r="U18" s="0" t="n">
        <v>17.38</v>
      </c>
    </row>
    <row r="19" customFormat="false" ht="15.75" hidden="false" customHeight="false" outlineLevel="0" collapsed="false">
      <c r="J19" s="0" t="n">
        <v>0.2</v>
      </c>
      <c r="K19" s="0" t="n">
        <v>0.68</v>
      </c>
      <c r="L19" s="0" t="n">
        <v>17.22</v>
      </c>
      <c r="S19" s="3" t="n">
        <v>0.2</v>
      </c>
      <c r="T19" s="3" t="n">
        <v>0.68</v>
      </c>
      <c r="U19" s="0" t="n">
        <v>17.25</v>
      </c>
    </row>
    <row r="20" customFormat="false" ht="15.75" hidden="false" customHeight="false" outlineLevel="0" collapsed="false">
      <c r="J20" s="0" t="n">
        <v>0.1</v>
      </c>
      <c r="K20" s="0" t="n">
        <v>0.6</v>
      </c>
      <c r="L20" s="0" t="n">
        <v>16.97</v>
      </c>
      <c r="S20" s="3" t="n">
        <v>0.1</v>
      </c>
      <c r="T20" s="3" t="n">
        <v>0.6</v>
      </c>
      <c r="U20" s="0" t="n">
        <v>17.14</v>
      </c>
    </row>
    <row r="21" customFormat="false" ht="15.75" hidden="false" customHeight="false" outlineLevel="0" collapsed="false">
      <c r="J21" s="0" t="n">
        <v>0.1</v>
      </c>
      <c r="K21" s="0" t="n">
        <v>0.56</v>
      </c>
      <c r="L21" s="0" t="n">
        <v>17.01</v>
      </c>
      <c r="S21" s="3" t="n">
        <v>0.1</v>
      </c>
      <c r="T21" s="3" t="n">
        <v>0.56</v>
      </c>
      <c r="U21" s="0" t="n">
        <v>17</v>
      </c>
    </row>
    <row r="22" customFormat="false" ht="15.75" hidden="false" customHeight="false" outlineLevel="0" collapsed="false">
      <c r="J22" s="0" t="n">
        <v>0.1</v>
      </c>
      <c r="K22" s="0" t="n">
        <v>0.52</v>
      </c>
      <c r="L22" s="0" t="n">
        <v>16.91</v>
      </c>
      <c r="S22" s="3" t="n">
        <v>0.1</v>
      </c>
      <c r="T22" s="3" t="n">
        <v>0.52</v>
      </c>
      <c r="U22" s="0" t="n">
        <v>16.86</v>
      </c>
    </row>
    <row r="23" customFormat="false" ht="15.75" hidden="false" customHeight="false" outlineLevel="0" collapsed="false">
      <c r="J23" s="0" t="n">
        <v>0.1</v>
      </c>
      <c r="K23" s="0" t="n">
        <v>0.48</v>
      </c>
      <c r="L23" s="0" t="n">
        <v>16.72</v>
      </c>
      <c r="S23" s="3" t="n">
        <v>0.1</v>
      </c>
      <c r="T23" s="3" t="n">
        <v>0.48</v>
      </c>
      <c r="U23" s="0" t="n">
        <v>16.77</v>
      </c>
    </row>
    <row r="24" customFormat="false" ht="15.75" hidden="false" customHeight="false" outlineLevel="0" collapsed="false">
      <c r="J24" s="0" t="n">
        <v>0.1</v>
      </c>
      <c r="K24" s="0" t="n">
        <v>0.44</v>
      </c>
      <c r="L24" s="0" t="n">
        <v>15.73</v>
      </c>
      <c r="S24" s="3" t="n">
        <v>0.1</v>
      </c>
      <c r="T24" s="3" t="n">
        <v>0.44</v>
      </c>
      <c r="U24" s="0" t="n">
        <v>16.45</v>
      </c>
    </row>
    <row r="25" customFormat="false" ht="15.75" hidden="false" customHeight="false" outlineLevel="0" collapsed="false">
      <c r="J25" s="0" t="n">
        <v>0.1</v>
      </c>
      <c r="K25" s="0" t="n">
        <v>0.4</v>
      </c>
      <c r="L25" s="0" t="n">
        <v>15.3</v>
      </c>
      <c r="S25" s="3" t="n">
        <v>0.1</v>
      </c>
      <c r="T25" s="3" t="n">
        <v>0.4</v>
      </c>
      <c r="U25" s="0" t="n">
        <v>16.19</v>
      </c>
    </row>
    <row r="26" customFormat="false" ht="15.75" hidden="false" customHeight="false" outlineLevel="0" collapsed="false">
      <c r="J26" s="3" t="n">
        <v>0.1</v>
      </c>
      <c r="K26" s="0" t="n">
        <v>0.36</v>
      </c>
      <c r="L26" s="0" t="n">
        <v>14.96</v>
      </c>
      <c r="S26" s="3" t="n">
        <v>0.1</v>
      </c>
      <c r="T26" s="3" t="n">
        <v>0.36</v>
      </c>
      <c r="U26" s="0" t="n">
        <v>15.83</v>
      </c>
    </row>
    <row r="27" customFormat="false" ht="15.75" hidden="false" customHeight="false" outlineLevel="0" collapsed="false">
      <c r="J27" s="3" t="n">
        <v>0.1</v>
      </c>
      <c r="K27" s="0" t="n">
        <v>0.32</v>
      </c>
      <c r="L27" s="0" t="n">
        <v>14.4</v>
      </c>
      <c r="S27" s="3" t="n">
        <v>0.1</v>
      </c>
      <c r="T27" s="3" t="n">
        <v>0.32</v>
      </c>
      <c r="U27" s="0" t="n">
        <v>15.2</v>
      </c>
    </row>
    <row r="28" customFormat="false" ht="15.75" hidden="false" customHeight="false" outlineLevel="0" collapsed="false">
      <c r="J28" s="0" t="n">
        <v>0.05</v>
      </c>
      <c r="K28" s="0" t="n">
        <v>0.3</v>
      </c>
      <c r="L28" s="0" t="n">
        <v>14.43</v>
      </c>
      <c r="S28" s="3" t="n">
        <v>0.05</v>
      </c>
      <c r="T28" s="3" t="n">
        <v>0.3</v>
      </c>
      <c r="U28" s="0" t="n">
        <v>15.13</v>
      </c>
    </row>
    <row r="29" customFormat="false" ht="15.75" hidden="false" customHeight="false" outlineLevel="0" collapsed="false">
      <c r="J29" s="0" t="n">
        <v>0.05</v>
      </c>
      <c r="K29" s="0" t="n">
        <v>0.25</v>
      </c>
      <c r="L29" s="0" t="n">
        <v>13.36</v>
      </c>
      <c r="S29" s="3" t="n">
        <v>0.05</v>
      </c>
      <c r="T29" s="3" t="n">
        <v>0.25</v>
      </c>
      <c r="U29" s="0" t="n">
        <v>14</v>
      </c>
    </row>
    <row r="30" customFormat="false" ht="15.75" hidden="false" customHeight="false" outlineLevel="0" collapsed="false">
      <c r="J30" s="0" t="n">
        <v>0.05</v>
      </c>
      <c r="K30" s="0" t="n">
        <v>0.2</v>
      </c>
      <c r="L30" s="0" t="n">
        <v>11.02</v>
      </c>
      <c r="S30" s="3" t="n">
        <v>0.05</v>
      </c>
      <c r="T30" s="3" t="n">
        <v>0.2</v>
      </c>
      <c r="U30" s="0" t="n">
        <v>11.56</v>
      </c>
    </row>
    <row r="31" customFormat="false" ht="15.75" hidden="false" customHeight="false" outlineLevel="0" collapsed="false">
      <c r="J31" s="0" t="n">
        <v>0.05</v>
      </c>
      <c r="K31" s="0" t="n">
        <v>0.15</v>
      </c>
      <c r="L31" s="0" t="n">
        <v>6.73</v>
      </c>
      <c r="S31" s="3" t="n">
        <v>0.05</v>
      </c>
      <c r="T31" s="3" t="n">
        <v>0.15</v>
      </c>
      <c r="U31" s="0" t="n">
        <v>7</v>
      </c>
    </row>
    <row r="32" customFormat="false" ht="15.75" hidden="false" customHeight="false" outlineLevel="0" collapsed="false">
      <c r="J32" s="0" t="n">
        <v>0.02</v>
      </c>
      <c r="K32" s="0" t="n">
        <v>0.12</v>
      </c>
      <c r="S32" s="3" t="n">
        <v>0.02</v>
      </c>
      <c r="T32" s="3" t="n">
        <v>0.12</v>
      </c>
      <c r="U32" s="0" t="n">
        <v>4.88</v>
      </c>
    </row>
    <row r="33" customFormat="false" ht="15.75" hidden="false" customHeight="false" outlineLevel="0" collapsed="false">
      <c r="J33" s="0" t="n">
        <v>0.02</v>
      </c>
      <c r="K33" s="0" t="n">
        <v>0.1</v>
      </c>
      <c r="S33" s="3" t="n">
        <v>0.02</v>
      </c>
      <c r="T33" s="3" t="n">
        <v>0.1</v>
      </c>
      <c r="U33" s="0" t="n">
        <v>2.94</v>
      </c>
    </row>
    <row r="34" customFormat="false" ht="15.75" hidden="false" customHeight="false" outlineLevel="0" collapsed="false">
      <c r="J34" s="0" t="n">
        <v>0.02</v>
      </c>
      <c r="K34" s="0" t="n">
        <v>0.8</v>
      </c>
      <c r="S34" s="3" t="n">
        <v>0.02</v>
      </c>
      <c r="T34" s="3" t="n">
        <v>0.08</v>
      </c>
      <c r="U34" s="0" t="n">
        <v>1.6</v>
      </c>
    </row>
    <row r="35" customFormat="false" ht="15.75" hidden="false" customHeight="false" outlineLevel="0" collapsed="false">
      <c r="J35" s="0" t="n">
        <v>0.01</v>
      </c>
      <c r="K35" s="0" t="n">
        <v>0.6</v>
      </c>
      <c r="S35" s="3" t="n">
        <v>0.01</v>
      </c>
      <c r="T35" s="3" t="n">
        <v>0.06</v>
      </c>
      <c r="U35" s="0" t="n">
        <v>0.85</v>
      </c>
    </row>
    <row r="36" customFormat="false" ht="15.75" hidden="false" customHeight="false" outlineLevel="0" collapsed="false">
      <c r="J36" s="0" t="n">
        <v>0.01</v>
      </c>
      <c r="K36" s="0" t="n">
        <v>0.5</v>
      </c>
      <c r="S36" s="3" t="n">
        <v>0.01</v>
      </c>
      <c r="T36" s="3" t="n">
        <v>0.05</v>
      </c>
      <c r="U36" s="0" t="n">
        <v>0.54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H38"/>
  <sheetViews>
    <sheetView showFormulas="false" showGridLines="true" showRowColHeaders="true" showZeros="true" rightToLeft="false" tabSelected="false" showOutlineSymbols="true" defaultGridColor="true" view="normal" topLeftCell="A6" colorId="64" zoomScale="68" zoomScaleNormal="68" zoomScalePageLayoutView="100" workbookViewId="0">
      <selection pane="topLeft" activeCell="F6" activeCellId="0" sqref="F6"/>
    </sheetView>
  </sheetViews>
  <sheetFormatPr defaultColWidth="10.55078125" defaultRowHeight="15.75" zeroHeight="false" outlineLevelRow="0" outlineLevelCol="0"/>
  <sheetData>
    <row r="6" customFormat="false" ht="15.75" hidden="false" customHeight="false" outlineLevel="0" collapsed="false">
      <c r="B6" s="3" t="s">
        <v>9</v>
      </c>
      <c r="C6" s="3" t="s">
        <v>10</v>
      </c>
      <c r="D6" s="2" t="s">
        <v>11</v>
      </c>
      <c r="F6" s="3" t="s">
        <v>9</v>
      </c>
      <c r="G6" s="3" t="s">
        <v>10</v>
      </c>
      <c r="H6" s="2" t="s">
        <v>11</v>
      </c>
    </row>
    <row r="7" customFormat="false" ht="15.75" hidden="false" customHeight="false" outlineLevel="0" collapsed="false">
      <c r="B7" s="3" t="n">
        <v>1</v>
      </c>
      <c r="C7" s="3" t="n">
        <v>4</v>
      </c>
      <c r="D7" s="0" t="n">
        <v>9.93</v>
      </c>
      <c r="F7" s="3" t="n">
        <v>1</v>
      </c>
      <c r="G7" s="3" t="n">
        <v>4</v>
      </c>
      <c r="H7" s="3" t="n">
        <v>9.78</v>
      </c>
    </row>
    <row r="8" customFormat="false" ht="15.75" hidden="false" customHeight="false" outlineLevel="0" collapsed="false">
      <c r="B8" s="3" t="n">
        <v>1</v>
      </c>
      <c r="C8" s="3" t="n">
        <v>3.6</v>
      </c>
      <c r="D8" s="0" t="n">
        <v>9.82</v>
      </c>
      <c r="F8" s="3" t="n">
        <v>1</v>
      </c>
      <c r="G8" s="3" t="n">
        <v>3.6</v>
      </c>
      <c r="H8" s="3" t="n">
        <v>9.7</v>
      </c>
    </row>
    <row r="9" customFormat="false" ht="15.75" hidden="false" customHeight="false" outlineLevel="0" collapsed="false">
      <c r="B9" s="3" t="n">
        <v>1</v>
      </c>
      <c r="C9" s="3" t="n">
        <v>3.2</v>
      </c>
      <c r="D9" s="0" t="n">
        <v>9.71</v>
      </c>
      <c r="F9" s="3" t="n">
        <v>1</v>
      </c>
      <c r="G9" s="3" t="n">
        <v>3.2</v>
      </c>
      <c r="H9" s="3" t="n">
        <v>9.58</v>
      </c>
    </row>
    <row r="10" customFormat="false" ht="15.75" hidden="false" customHeight="false" outlineLevel="0" collapsed="false">
      <c r="B10" s="3" t="n">
        <v>0.5</v>
      </c>
      <c r="C10" s="3" t="n">
        <v>2.8</v>
      </c>
      <c r="D10" s="0" t="n">
        <v>9.62</v>
      </c>
      <c r="F10" s="3" t="n">
        <v>0.5</v>
      </c>
      <c r="G10" s="3" t="n">
        <v>2.8</v>
      </c>
      <c r="H10" s="3" t="n">
        <v>9.48</v>
      </c>
    </row>
    <row r="11" customFormat="false" ht="15.75" hidden="false" customHeight="false" outlineLevel="0" collapsed="false">
      <c r="B11" s="3" t="n">
        <v>0.5</v>
      </c>
      <c r="C11" s="3" t="n">
        <v>2.4</v>
      </c>
      <c r="D11" s="0" t="n">
        <v>9.47</v>
      </c>
      <c r="F11" s="3" t="n">
        <v>0.5</v>
      </c>
      <c r="G11" s="3" t="n">
        <v>2.4</v>
      </c>
      <c r="H11" s="3" t="n">
        <v>9.31</v>
      </c>
    </row>
    <row r="12" customFormat="false" ht="15.75" hidden="false" customHeight="false" outlineLevel="0" collapsed="false">
      <c r="B12" s="3" t="n">
        <v>0.5</v>
      </c>
      <c r="C12" s="3" t="n">
        <v>2</v>
      </c>
      <c r="D12" s="0" t="n">
        <v>9.31</v>
      </c>
      <c r="F12" s="3" t="n">
        <v>0.5</v>
      </c>
      <c r="G12" s="3" t="n">
        <v>2</v>
      </c>
      <c r="H12" s="3" t="n">
        <v>9.15</v>
      </c>
    </row>
    <row r="13" customFormat="false" ht="15.75" hidden="false" customHeight="false" outlineLevel="0" collapsed="false">
      <c r="B13" s="3" t="n">
        <v>0.5</v>
      </c>
      <c r="C13" s="3" t="n">
        <v>1.8</v>
      </c>
      <c r="D13" s="0" t="n">
        <v>9.21</v>
      </c>
      <c r="F13" s="3" t="n">
        <v>0.5</v>
      </c>
      <c r="G13" s="3" t="n">
        <v>1.8</v>
      </c>
      <c r="H13" s="3" t="n">
        <v>9.05</v>
      </c>
    </row>
    <row r="14" customFormat="false" ht="15.75" hidden="false" customHeight="false" outlineLevel="0" collapsed="false">
      <c r="B14" s="3" t="n">
        <v>0.5</v>
      </c>
      <c r="C14" s="3" t="n">
        <v>1.6</v>
      </c>
      <c r="D14" s="0" t="n">
        <v>9.12</v>
      </c>
      <c r="F14" s="3" t="n">
        <v>0.5</v>
      </c>
      <c r="G14" s="3" t="n">
        <v>1.6</v>
      </c>
      <c r="H14" s="3" t="n">
        <v>8.98</v>
      </c>
    </row>
    <row r="15" customFormat="false" ht="15.75" hidden="false" customHeight="false" outlineLevel="0" collapsed="false">
      <c r="B15" s="3" t="n">
        <v>0.5</v>
      </c>
      <c r="C15" s="3" t="n">
        <v>1.4</v>
      </c>
      <c r="D15" s="0" t="n">
        <v>9.05</v>
      </c>
      <c r="F15" s="3" t="n">
        <v>0.5</v>
      </c>
      <c r="G15" s="3" t="n">
        <v>1.4</v>
      </c>
      <c r="H15" s="3" t="n">
        <v>8.91</v>
      </c>
    </row>
    <row r="16" customFormat="false" ht="15.75" hidden="false" customHeight="false" outlineLevel="0" collapsed="false">
      <c r="B16" s="3" t="n">
        <v>0.2</v>
      </c>
      <c r="C16" s="3" t="n">
        <v>1.2</v>
      </c>
      <c r="D16" s="0" t="n">
        <v>8.98</v>
      </c>
      <c r="F16" s="3" t="n">
        <v>0.2</v>
      </c>
      <c r="G16" s="3" t="n">
        <v>1.2</v>
      </c>
      <c r="H16" s="3" t="n">
        <v>8.86</v>
      </c>
    </row>
    <row r="17" customFormat="false" ht="15.75" hidden="false" customHeight="false" outlineLevel="0" collapsed="false">
      <c r="B17" s="3" t="n">
        <v>0.2</v>
      </c>
      <c r="C17" s="3" t="n">
        <v>1</v>
      </c>
      <c r="D17" s="0" t="n">
        <v>8.88</v>
      </c>
      <c r="F17" s="3" t="n">
        <v>0.2</v>
      </c>
      <c r="G17" s="3" t="n">
        <v>1</v>
      </c>
      <c r="H17" s="3" t="n">
        <v>8.77</v>
      </c>
    </row>
    <row r="18" customFormat="false" ht="15.75" hidden="false" customHeight="false" outlineLevel="0" collapsed="false">
      <c r="B18" s="3" t="n">
        <v>0.2</v>
      </c>
      <c r="C18" s="3" t="n">
        <v>0.92</v>
      </c>
      <c r="D18" s="0" t="n">
        <v>8.82</v>
      </c>
      <c r="F18" s="3" t="n">
        <v>0.2</v>
      </c>
      <c r="G18" s="3" t="n">
        <v>0.92</v>
      </c>
      <c r="H18" s="3" t="n">
        <v>8.72</v>
      </c>
    </row>
    <row r="19" customFormat="false" ht="15.75" hidden="false" customHeight="false" outlineLevel="0" collapsed="false">
      <c r="B19" s="3" t="n">
        <v>0.2</v>
      </c>
      <c r="C19" s="3" t="n">
        <v>0.84</v>
      </c>
      <c r="D19" s="0" t="n">
        <v>8.78</v>
      </c>
      <c r="F19" s="3" t="n">
        <v>0.2</v>
      </c>
      <c r="G19" s="3" t="n">
        <v>0.84</v>
      </c>
      <c r="H19" s="3" t="n">
        <v>8.68</v>
      </c>
    </row>
    <row r="20" customFormat="false" ht="15.75" hidden="false" customHeight="false" outlineLevel="0" collapsed="false">
      <c r="B20" s="3" t="n">
        <v>0.2</v>
      </c>
      <c r="C20" s="3" t="n">
        <v>0.76</v>
      </c>
      <c r="D20" s="0" t="n">
        <v>8.73</v>
      </c>
      <c r="F20" s="3" t="n">
        <v>0.2</v>
      </c>
      <c r="G20" s="3" t="n">
        <v>0.76</v>
      </c>
      <c r="H20" s="3" t="n">
        <v>8.62</v>
      </c>
    </row>
    <row r="21" customFormat="false" ht="15.75" hidden="false" customHeight="false" outlineLevel="0" collapsed="false">
      <c r="B21" s="3" t="n">
        <v>0.2</v>
      </c>
      <c r="C21" s="3" t="n">
        <v>0.68</v>
      </c>
      <c r="D21" s="0" t="n">
        <v>8.68</v>
      </c>
      <c r="F21" s="3" t="n">
        <v>0.2</v>
      </c>
      <c r="G21" s="3" t="n">
        <v>0.68</v>
      </c>
      <c r="H21" s="3" t="n">
        <v>8.58</v>
      </c>
    </row>
    <row r="22" customFormat="false" ht="15.75" hidden="false" customHeight="false" outlineLevel="0" collapsed="false">
      <c r="B22" s="3" t="n">
        <v>0.1</v>
      </c>
      <c r="C22" s="3" t="n">
        <v>0.6</v>
      </c>
      <c r="D22" s="0" t="n">
        <v>8.66</v>
      </c>
      <c r="F22" s="3" t="n">
        <v>0.1</v>
      </c>
      <c r="G22" s="3" t="n">
        <v>0.6</v>
      </c>
      <c r="H22" s="3" t="n">
        <v>8.55</v>
      </c>
    </row>
    <row r="23" customFormat="false" ht="15.75" hidden="false" customHeight="false" outlineLevel="0" collapsed="false">
      <c r="B23" s="3" t="n">
        <v>0.1</v>
      </c>
      <c r="C23" s="3" t="n">
        <v>0.56</v>
      </c>
      <c r="D23" s="0" t="n">
        <v>8.59</v>
      </c>
      <c r="F23" s="3" t="n">
        <v>0.1</v>
      </c>
      <c r="G23" s="3" t="n">
        <v>0.56</v>
      </c>
      <c r="H23" s="3" t="n">
        <v>8.51</v>
      </c>
    </row>
    <row r="24" customFormat="false" ht="15.75" hidden="false" customHeight="false" outlineLevel="0" collapsed="false">
      <c r="B24" s="3" t="n">
        <v>0.1</v>
      </c>
      <c r="C24" s="3" t="n">
        <v>0.52</v>
      </c>
      <c r="D24" s="0" t="n">
        <v>8.57</v>
      </c>
      <c r="F24" s="3" t="n">
        <v>0.1</v>
      </c>
      <c r="G24" s="3" t="n">
        <v>0.52</v>
      </c>
      <c r="H24" s="3" t="n">
        <v>8.49</v>
      </c>
    </row>
    <row r="25" customFormat="false" ht="15.75" hidden="false" customHeight="false" outlineLevel="0" collapsed="false">
      <c r="B25" s="3" t="n">
        <v>0.1</v>
      </c>
      <c r="C25" s="3" t="n">
        <v>0.48</v>
      </c>
      <c r="D25" s="0" t="n">
        <v>8.55</v>
      </c>
      <c r="F25" s="3" t="n">
        <v>0.1</v>
      </c>
      <c r="G25" s="3" t="n">
        <v>0.48</v>
      </c>
      <c r="H25" s="3" t="n">
        <v>8.46</v>
      </c>
    </row>
    <row r="26" customFormat="false" ht="15.75" hidden="false" customHeight="false" outlineLevel="0" collapsed="false">
      <c r="B26" s="3" t="n">
        <v>0.1</v>
      </c>
      <c r="C26" s="3" t="n">
        <v>0.44</v>
      </c>
      <c r="F26" s="3" t="n">
        <v>0.1</v>
      </c>
      <c r="G26" s="3" t="n">
        <v>0.44</v>
      </c>
      <c r="H26" s="3" t="n">
        <v>8.42</v>
      </c>
    </row>
    <row r="27" customFormat="false" ht="15.75" hidden="false" customHeight="false" outlineLevel="0" collapsed="false">
      <c r="B27" s="3" t="n">
        <v>0.1</v>
      </c>
      <c r="C27" s="3" t="n">
        <v>0.4</v>
      </c>
      <c r="F27" s="3" t="n">
        <v>0.1</v>
      </c>
      <c r="G27" s="3" t="n">
        <v>0.4</v>
      </c>
      <c r="H27" s="3" t="n">
        <v>8.38</v>
      </c>
    </row>
    <row r="28" customFormat="false" ht="15.75" hidden="false" customHeight="false" outlineLevel="0" collapsed="false">
      <c r="B28" s="3" t="n">
        <v>0.1</v>
      </c>
      <c r="C28" s="3" t="n">
        <v>0.36</v>
      </c>
      <c r="F28" s="3" t="n">
        <v>0.1</v>
      </c>
      <c r="G28" s="3" t="n">
        <v>0.36</v>
      </c>
      <c r="H28" s="3" t="n">
        <v>8.33</v>
      </c>
    </row>
    <row r="29" customFormat="false" ht="15.75" hidden="false" customHeight="false" outlineLevel="0" collapsed="false">
      <c r="B29" s="3" t="n">
        <v>0.1</v>
      </c>
      <c r="C29" s="3" t="n">
        <v>0.32</v>
      </c>
      <c r="F29" s="3" t="n">
        <v>0.1</v>
      </c>
      <c r="G29" s="3" t="n">
        <v>0.32</v>
      </c>
      <c r="H29" s="3" t="n">
        <v>8.24</v>
      </c>
    </row>
    <row r="30" customFormat="false" ht="15.75" hidden="false" customHeight="false" outlineLevel="0" collapsed="false">
      <c r="B30" s="3" t="n">
        <v>0.05</v>
      </c>
      <c r="C30" s="3" t="n">
        <v>0.3</v>
      </c>
      <c r="F30" s="3" t="n">
        <v>0.05</v>
      </c>
      <c r="G30" s="3" t="n">
        <v>0.3</v>
      </c>
      <c r="H30" s="3" t="n">
        <v>8.22</v>
      </c>
    </row>
    <row r="31" customFormat="false" ht="15.75" hidden="false" customHeight="false" outlineLevel="0" collapsed="false">
      <c r="B31" s="3" t="n">
        <v>0.05</v>
      </c>
      <c r="C31" s="3" t="n">
        <v>0.25</v>
      </c>
      <c r="F31" s="3" t="n">
        <v>0.05</v>
      </c>
      <c r="G31" s="3" t="n">
        <v>0.25</v>
      </c>
      <c r="H31" s="3" t="n">
        <v>7.86</v>
      </c>
    </row>
    <row r="32" customFormat="false" ht="15.75" hidden="false" customHeight="false" outlineLevel="0" collapsed="false">
      <c r="B32" s="3" t="n">
        <v>0.05</v>
      </c>
      <c r="C32" s="3" t="n">
        <v>0.2</v>
      </c>
      <c r="F32" s="3" t="n">
        <v>0.05</v>
      </c>
      <c r="G32" s="3" t="n">
        <v>0.2</v>
      </c>
      <c r="H32" s="3" t="n">
        <v>6.66</v>
      </c>
    </row>
    <row r="33" customFormat="false" ht="15.75" hidden="false" customHeight="false" outlineLevel="0" collapsed="false">
      <c r="B33" s="3" t="n">
        <v>0.05</v>
      </c>
      <c r="C33" s="3" t="n">
        <v>0.15</v>
      </c>
      <c r="F33" s="3" t="n">
        <v>0.05</v>
      </c>
      <c r="G33" s="3" t="n">
        <v>0.15</v>
      </c>
      <c r="H33" s="3" t="n">
        <v>3.95</v>
      </c>
    </row>
    <row r="34" customFormat="false" ht="15.75" hidden="false" customHeight="false" outlineLevel="0" collapsed="false">
      <c r="B34" s="3" t="n">
        <v>0.02</v>
      </c>
      <c r="C34" s="3" t="n">
        <v>0.12</v>
      </c>
      <c r="F34" s="3" t="n">
        <v>0.02</v>
      </c>
      <c r="G34" s="3" t="n">
        <v>0.12</v>
      </c>
      <c r="H34" s="3" t="n">
        <v>2.62</v>
      </c>
    </row>
    <row r="35" customFormat="false" ht="15.75" hidden="false" customHeight="false" outlineLevel="0" collapsed="false">
      <c r="B35" s="3" t="n">
        <v>0.02</v>
      </c>
      <c r="C35" s="3" t="n">
        <v>0.1</v>
      </c>
      <c r="F35" s="3" t="n">
        <v>0.02</v>
      </c>
      <c r="G35" s="3" t="n">
        <v>0.1</v>
      </c>
      <c r="H35" s="3" t="n">
        <v>1.52</v>
      </c>
    </row>
    <row r="36" customFormat="false" ht="15.75" hidden="false" customHeight="false" outlineLevel="0" collapsed="false">
      <c r="B36" s="3" t="n">
        <v>0.02</v>
      </c>
      <c r="C36" s="3" t="n">
        <v>0.08</v>
      </c>
      <c r="F36" s="3" t="n">
        <v>0.02</v>
      </c>
      <c r="G36" s="3" t="n">
        <v>0.08</v>
      </c>
      <c r="H36" s="3" t="n">
        <v>0.8</v>
      </c>
    </row>
    <row r="37" customFormat="false" ht="15.75" hidden="false" customHeight="false" outlineLevel="0" collapsed="false">
      <c r="B37" s="3" t="n">
        <v>0.01</v>
      </c>
      <c r="C37" s="3" t="n">
        <v>0.06</v>
      </c>
      <c r="F37" s="3" t="n">
        <v>0.01</v>
      </c>
      <c r="G37" s="3" t="n">
        <v>0.06</v>
      </c>
      <c r="H37" s="3" t="n">
        <v>0.41</v>
      </c>
    </row>
    <row r="38" customFormat="false" ht="15.75" hidden="false" customHeight="false" outlineLevel="0" collapsed="false">
      <c r="B38" s="3" t="n">
        <v>0.01</v>
      </c>
      <c r="C38" s="3" t="n">
        <v>0.05</v>
      </c>
      <c r="F38" s="3" t="n">
        <v>0.01</v>
      </c>
      <c r="G38" s="3" t="n">
        <v>0.05</v>
      </c>
      <c r="H38" s="3" t="n"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J81"/>
  <sheetViews>
    <sheetView showFormulas="false" showGridLines="true" showRowColHeaders="true" showZeros="true" rightToLeft="false" tabSelected="false" showOutlineSymbols="true" defaultGridColor="true" view="normal" topLeftCell="A1" colorId="64" zoomScale="68" zoomScaleNormal="68" zoomScalePageLayoutView="100" workbookViewId="0">
      <selection pane="topLeft" activeCell="A1" activeCellId="0" sqref="A1"/>
    </sheetView>
  </sheetViews>
  <sheetFormatPr defaultColWidth="9.34375" defaultRowHeight="15" zeroHeight="false" outlineLevelRow="0" outlineLevelCol="0"/>
  <cols>
    <col collapsed="false" customWidth="false" hidden="false" outlineLevel="0" max="3" min="1" style="4" width="9.34"/>
    <col collapsed="false" customWidth="true" hidden="false" outlineLevel="0" max="4" min="4" style="4" width="18.39"/>
    <col collapsed="false" customWidth="true" hidden="false" outlineLevel="0" max="5" min="5" style="4" width="12.76"/>
    <col collapsed="false" customWidth="true" hidden="false" outlineLevel="0" max="6" min="6" style="4" width="19.55"/>
    <col collapsed="false" customWidth="true" hidden="false" outlineLevel="0" max="7" min="7" style="4" width="21.21"/>
    <col collapsed="false" customWidth="false" hidden="false" outlineLevel="0" max="16384" min="8" style="4" width="9.34"/>
  </cols>
  <sheetData>
    <row r="1" customFormat="false" ht="15" hidden="false" customHeight="false" outlineLevel="0" collapsed="false">
      <c r="C1" s="5"/>
      <c r="D1" s="5"/>
    </row>
    <row r="2" customFormat="false" ht="15" hidden="false" customHeight="false" outlineLevel="0" collapsed="false">
      <c r="C2" s="5"/>
      <c r="D2" s="5" t="s">
        <v>12</v>
      </c>
      <c r="E2" s="4" t="n">
        <v>0.001</v>
      </c>
    </row>
    <row r="3" customFormat="false" ht="15" hidden="false" customHeight="false" outlineLevel="0" collapsed="false">
      <c r="C3" s="5"/>
      <c r="D3" s="5" t="s">
        <v>13</v>
      </c>
      <c r="E3" s="4" t="n">
        <f aca="false">0.5*E2/5</f>
        <v>0.0001</v>
      </c>
      <c r="G3" s="4" t="s">
        <v>14</v>
      </c>
      <c r="H3" s="4" t="n">
        <v>0.03</v>
      </c>
    </row>
    <row r="4" customFormat="false" ht="15" hidden="false" customHeight="false" outlineLevel="0" collapsed="false">
      <c r="C4" s="5"/>
      <c r="D4" s="5"/>
    </row>
    <row r="5" customFormat="false" ht="15" hidden="false" customHeight="false" outlineLevel="0" collapsed="false">
      <c r="C5" s="5"/>
      <c r="D5" s="5" t="s">
        <v>15</v>
      </c>
      <c r="E5" s="4" t="n">
        <v>0.03</v>
      </c>
      <c r="G5" s="4" t="s">
        <v>16</v>
      </c>
      <c r="H5" s="4" t="n">
        <v>0.015</v>
      </c>
    </row>
    <row r="6" customFormat="false" ht="15" hidden="false" customHeight="false" outlineLevel="0" collapsed="false">
      <c r="C6" s="5"/>
      <c r="D6" s="5"/>
    </row>
    <row r="7" customFormat="false" ht="15.35" hidden="false" customHeight="false" outlineLevel="0" collapsed="false">
      <c r="C7" s="5"/>
      <c r="D7" s="5"/>
    </row>
    <row r="8" customFormat="false" ht="15.35" hidden="false" customHeight="false" outlineLevel="0" collapsed="false">
      <c r="C8" s="5"/>
      <c r="D8" s="5"/>
    </row>
    <row r="9" customFormat="false" ht="15.35" hidden="false" customHeight="false" outlineLevel="0" collapsed="false">
      <c r="C9" s="6" t="s">
        <v>9</v>
      </c>
      <c r="D9" s="6" t="s">
        <v>10</v>
      </c>
      <c r="E9" s="7" t="s">
        <v>17</v>
      </c>
      <c r="F9" s="7" t="s">
        <v>18</v>
      </c>
      <c r="G9" s="7" t="s">
        <v>19</v>
      </c>
      <c r="H9" s="7"/>
      <c r="I9" s="7"/>
      <c r="J9" s="7"/>
    </row>
    <row r="10" customFormat="false" ht="15" hidden="false" customHeight="false" outlineLevel="0" collapsed="false">
      <c r="C10" s="8" t="n">
        <v>1</v>
      </c>
      <c r="D10" s="8" t="n">
        <v>4</v>
      </c>
      <c r="E10" s="9" t="n">
        <v>20.1</v>
      </c>
      <c r="F10" s="10" t="n">
        <f aca="false">SQRT((0.5*C10/5)^2+$E$3^2 + (D10*$E$5)^2)</f>
        <v>0.15620502552735</v>
      </c>
      <c r="G10" s="9" t="n">
        <f aca="false">ROUND(E10*$H$5, 2) + $H$3</f>
        <v>0.33</v>
      </c>
      <c r="H10" s="9"/>
      <c r="I10" s="9"/>
    </row>
    <row r="11" customFormat="false" ht="15" hidden="false" customHeight="false" outlineLevel="0" collapsed="false">
      <c r="C11" s="8" t="n">
        <v>1</v>
      </c>
      <c r="D11" s="8" t="n">
        <v>3.6</v>
      </c>
      <c r="E11" s="9" t="n">
        <v>19.8</v>
      </c>
      <c r="F11" s="10" t="n">
        <f aca="false">SQRT((0.5*C11/5)^2+$E$3^2 + (D11*$E$5)^2)</f>
        <v>0.14718698991419</v>
      </c>
      <c r="G11" s="9" t="n">
        <f aca="false">ROUND(E11*$H$5, 2) + $H$3</f>
        <v>0.33</v>
      </c>
      <c r="H11" s="9"/>
      <c r="I11" s="9"/>
    </row>
    <row r="12" customFormat="false" ht="15" hidden="false" customHeight="false" outlineLevel="0" collapsed="false">
      <c r="C12" s="8" t="n">
        <v>1</v>
      </c>
      <c r="D12" s="8" t="n">
        <v>3.2</v>
      </c>
      <c r="E12" s="9" t="n">
        <v>19.54</v>
      </c>
      <c r="F12" s="10" t="n">
        <f aca="false">SQRT((0.5*C12/5)^2+$E$3^2 + (D12*$E$5)^2)</f>
        <v>0.138621823678669</v>
      </c>
      <c r="G12" s="9" t="n">
        <f aca="false">ROUND(E12*$H$5, 2) + $H$3</f>
        <v>0.32</v>
      </c>
      <c r="H12" s="9"/>
      <c r="I12" s="9"/>
    </row>
    <row r="13" customFormat="false" ht="15" hidden="false" customHeight="false" outlineLevel="0" collapsed="false">
      <c r="C13" s="8" t="n">
        <v>0.5</v>
      </c>
      <c r="D13" s="8" t="n">
        <v>2.8</v>
      </c>
      <c r="E13" s="9" t="n">
        <v>19.17</v>
      </c>
      <c r="F13" s="10" t="n">
        <f aca="false">SQRT((0.5*C13/5)^2+$E$3^2 + (D13*$E$5)^2)</f>
        <v>0.0977548464271721</v>
      </c>
      <c r="G13" s="9" t="n">
        <f aca="false">ROUND(E13*$H$5, 2) + $H$3</f>
        <v>0.32</v>
      </c>
      <c r="H13" s="9"/>
      <c r="I13" s="9"/>
    </row>
    <row r="14" customFormat="false" ht="15" hidden="false" customHeight="false" outlineLevel="0" collapsed="false">
      <c r="C14" s="8" t="n">
        <v>0.5</v>
      </c>
      <c r="D14" s="8" t="n">
        <v>2.4</v>
      </c>
      <c r="E14" s="9" t="n">
        <v>19.05</v>
      </c>
      <c r="F14" s="10" t="n">
        <f aca="false">SQRT((0.5*C14/5)^2+$E$3^2 + (D14*$E$5)^2)</f>
        <v>0.0876584850428069</v>
      </c>
      <c r="G14" s="9" t="n">
        <f aca="false">ROUND(E14*$H$5, 2) + $H$3</f>
        <v>0.32</v>
      </c>
      <c r="H14" s="9"/>
      <c r="I14" s="9"/>
    </row>
    <row r="15" customFormat="false" ht="15" hidden="false" customHeight="false" outlineLevel="0" collapsed="false">
      <c r="C15" s="8" t="n">
        <v>0.5</v>
      </c>
      <c r="D15" s="8" t="n">
        <v>2</v>
      </c>
      <c r="E15" s="9" t="n">
        <v>18.81</v>
      </c>
      <c r="F15" s="10" t="n">
        <f aca="false">SQRT((0.5*C15/5)^2+$E$3^2 + (D15*$E$5)^2)</f>
        <v>0.0781025607774803</v>
      </c>
      <c r="G15" s="9" t="n">
        <f aca="false">ROUND(E15*$H$5, 2) + $H$3</f>
        <v>0.31</v>
      </c>
      <c r="H15" s="9"/>
      <c r="I15" s="9"/>
    </row>
    <row r="16" customFormat="false" ht="15" hidden="false" customHeight="false" outlineLevel="0" collapsed="false">
      <c r="C16" s="8" t="n">
        <v>0.5</v>
      </c>
      <c r="D16" s="8" t="n">
        <v>1.8</v>
      </c>
      <c r="E16" s="9" t="n">
        <v>18.58</v>
      </c>
      <c r="F16" s="10" t="n">
        <f aca="false">SQRT((0.5*C16/5)^2+$E$3^2 + (D16*$E$5)^2)</f>
        <v>0.0735935459126682</v>
      </c>
      <c r="G16" s="9" t="n">
        <f aca="false">ROUND(E16*$H$5, 2) + $H$3</f>
        <v>0.31</v>
      </c>
      <c r="H16" s="9"/>
      <c r="I16" s="9"/>
    </row>
    <row r="17" customFormat="false" ht="15" hidden="false" customHeight="false" outlineLevel="0" collapsed="false">
      <c r="C17" s="8" t="n">
        <v>0.5</v>
      </c>
      <c r="D17" s="8" t="n">
        <v>1.6</v>
      </c>
      <c r="E17" s="9" t="n">
        <v>18.4</v>
      </c>
      <c r="F17" s="10" t="n">
        <f aca="false">SQRT((0.5*C17/5)^2+$E$3^2 + (D17*$E$5)^2)</f>
        <v>0.0693109659433484</v>
      </c>
      <c r="G17" s="9" t="n">
        <f aca="false">ROUND(E17*$H$5, 2) + $H$3</f>
        <v>0.31</v>
      </c>
      <c r="H17" s="9"/>
      <c r="I17" s="9"/>
    </row>
    <row r="18" customFormat="false" ht="15" hidden="false" customHeight="false" outlineLevel="0" collapsed="false">
      <c r="C18" s="8" t="n">
        <v>0.5</v>
      </c>
      <c r="D18" s="8" t="n">
        <v>1.4</v>
      </c>
      <c r="E18" s="9" t="n">
        <v>18.19</v>
      </c>
      <c r="F18" s="10" t="n">
        <f aca="false">SQRT((0.5*C18/5)^2+$E$3^2 + (D18*$E$5)^2)</f>
        <v>0.0652993874396996</v>
      </c>
      <c r="G18" s="9" t="n">
        <f aca="false">ROUND(E18*$H$5, 2) + $H$3</f>
        <v>0.3</v>
      </c>
      <c r="H18" s="9"/>
      <c r="I18" s="9"/>
    </row>
    <row r="19" customFormat="false" ht="15" hidden="false" customHeight="false" outlineLevel="0" collapsed="false">
      <c r="C19" s="8" t="n">
        <v>0.2</v>
      </c>
      <c r="D19" s="8" t="n">
        <v>1.2</v>
      </c>
      <c r="E19" s="9" t="n">
        <v>18.06</v>
      </c>
      <c r="F19" s="10" t="n">
        <f aca="false">SQRT((0.5*C19/5)^2+$E$3^2 + (D19*$E$5)^2)</f>
        <v>0.0411826419745018</v>
      </c>
      <c r="G19" s="9" t="n">
        <f aca="false">ROUND(E19*$H$5, 2) + $H$3</f>
        <v>0.3</v>
      </c>
      <c r="H19" s="9"/>
      <c r="I19" s="9"/>
    </row>
    <row r="20" customFormat="false" ht="15" hidden="false" customHeight="false" outlineLevel="0" collapsed="false">
      <c r="C20" s="8" t="n">
        <v>0.2</v>
      </c>
      <c r="D20" s="8" t="n">
        <v>1</v>
      </c>
      <c r="E20" s="9" t="n">
        <v>17.81</v>
      </c>
      <c r="F20" s="10" t="n">
        <f aca="false">SQRT((0.5*C20/5)^2+$E$3^2 + (D20*$E$5)^2)</f>
        <v>0.0360556514294223</v>
      </c>
      <c r="G20" s="9" t="n">
        <f aca="false">ROUND(E20*$H$5, 2) + $H$3</f>
        <v>0.3</v>
      </c>
      <c r="H20" s="9"/>
      <c r="I20" s="9"/>
    </row>
    <row r="21" customFormat="false" ht="15" hidden="false" customHeight="false" outlineLevel="0" collapsed="false">
      <c r="C21" s="8" t="n">
        <v>0.2</v>
      </c>
      <c r="D21" s="8" t="n">
        <v>0.92</v>
      </c>
      <c r="E21" s="9" t="n">
        <v>17.65</v>
      </c>
      <c r="F21" s="10" t="n">
        <f aca="false">SQRT((0.5*C21/5)^2+$E$3^2 + (D21*$E$5)^2)</f>
        <v>0.0340847473219327</v>
      </c>
      <c r="G21" s="9" t="n">
        <f aca="false">ROUND(E21*$H$5, 2) + $H$3</f>
        <v>0.29</v>
      </c>
      <c r="H21" s="9"/>
      <c r="I21" s="9"/>
    </row>
    <row r="22" customFormat="false" ht="15" hidden="false" customHeight="false" outlineLevel="0" collapsed="false">
      <c r="C22" s="8" t="n">
        <v>0.2</v>
      </c>
      <c r="D22" s="8" t="n">
        <v>0.84</v>
      </c>
      <c r="E22" s="9" t="n">
        <v>17.53</v>
      </c>
      <c r="F22" s="10" t="n">
        <f aca="false">SQRT((0.5*C22/5)^2+$E$3^2 + (D22*$E$5)^2)</f>
        <v>0.0321721929622461</v>
      </c>
      <c r="G22" s="9" t="n">
        <f aca="false">ROUND(E22*$H$5, 2) + $H$3</f>
        <v>0.29</v>
      </c>
      <c r="H22" s="9"/>
      <c r="I22" s="9"/>
    </row>
    <row r="23" customFormat="false" ht="15" hidden="false" customHeight="false" outlineLevel="0" collapsed="false">
      <c r="C23" s="8" t="n">
        <v>0.2</v>
      </c>
      <c r="D23" s="8" t="n">
        <v>0.76</v>
      </c>
      <c r="E23" s="9" t="n">
        <v>17.38</v>
      </c>
      <c r="F23" s="10" t="n">
        <f aca="false">SQRT((0.5*C23/5)^2+$E$3^2 + (D23*$E$5)^2)</f>
        <v>0.0303290289986343</v>
      </c>
      <c r="G23" s="9" t="n">
        <f aca="false">ROUND(E23*$H$5, 2) + $H$3</f>
        <v>0.29</v>
      </c>
      <c r="H23" s="9"/>
      <c r="I23" s="9"/>
    </row>
    <row r="24" customFormat="false" ht="15" hidden="false" customHeight="false" outlineLevel="0" collapsed="false">
      <c r="C24" s="8" t="n">
        <v>0.2</v>
      </c>
      <c r="D24" s="8" t="n">
        <v>0.68</v>
      </c>
      <c r="E24" s="9" t="n">
        <v>17.25</v>
      </c>
      <c r="F24" s="10" t="n">
        <f aca="false">SQRT((0.5*C24/5)^2+$E$3^2 + (D24*$E$5)^2)</f>
        <v>0.0285686891543872</v>
      </c>
      <c r="G24" s="9" t="n">
        <f aca="false">ROUND(E24*$H$5, 2) + $H$3</f>
        <v>0.29</v>
      </c>
      <c r="H24" s="9"/>
      <c r="I24" s="9"/>
    </row>
    <row r="25" customFormat="false" ht="15" hidden="false" customHeight="false" outlineLevel="0" collapsed="false">
      <c r="C25" s="8" t="n">
        <v>0.1</v>
      </c>
      <c r="D25" s="8" t="n">
        <v>0.6</v>
      </c>
      <c r="E25" s="9" t="n">
        <v>17.14</v>
      </c>
      <c r="F25" s="10" t="n">
        <f aca="false">SQRT((0.5*C25/5)^2+$E$3^2 + (D25*$E$5)^2)</f>
        <v>0.0205915031020079</v>
      </c>
      <c r="G25" s="9" t="n">
        <f aca="false">ROUND(E25*$H$5, 2) + $H$3</f>
        <v>0.29</v>
      </c>
      <c r="H25" s="9"/>
      <c r="I25" s="9"/>
    </row>
    <row r="26" customFormat="false" ht="15" hidden="false" customHeight="false" outlineLevel="0" collapsed="false">
      <c r="C26" s="8" t="n">
        <v>0.1</v>
      </c>
      <c r="D26" s="8" t="n">
        <v>0.56</v>
      </c>
      <c r="E26" s="9" t="n">
        <v>17</v>
      </c>
      <c r="F26" s="10" t="n">
        <f aca="false">SQRT((0.5*C26/5)^2+$E$3^2 + (D26*$E$5)^2)</f>
        <v>0.0195512147960172</v>
      </c>
      <c r="G26" s="9" t="n">
        <f aca="false">ROUND(E26*$H$5, 2) + $H$3</f>
        <v>0.29</v>
      </c>
      <c r="H26" s="9"/>
      <c r="I26" s="9"/>
    </row>
    <row r="27" customFormat="false" ht="15" hidden="false" customHeight="false" outlineLevel="0" collapsed="false">
      <c r="C27" s="8" t="n">
        <v>0.1</v>
      </c>
      <c r="D27" s="8" t="n">
        <v>0.52</v>
      </c>
      <c r="E27" s="9" t="n">
        <v>16.86</v>
      </c>
      <c r="F27" s="10" t="n">
        <f aca="false">SQRT((0.5*C27/5)^2+$E$3^2 + (D27*$E$5)^2)</f>
        <v>0.0185302455461335</v>
      </c>
      <c r="G27" s="9" t="n">
        <f aca="false">ROUND(E27*$H$5, 2) + $H$3</f>
        <v>0.28</v>
      </c>
      <c r="H27" s="9"/>
      <c r="I27" s="9"/>
    </row>
    <row r="28" customFormat="false" ht="15" hidden="false" customHeight="false" outlineLevel="0" collapsed="false">
      <c r="C28" s="8" t="n">
        <v>0.1</v>
      </c>
      <c r="D28" s="8" t="n">
        <v>0.48</v>
      </c>
      <c r="E28" s="9" t="n">
        <v>16.77</v>
      </c>
      <c r="F28" s="10" t="n">
        <f aca="false">SQRT((0.5*C28/5)^2+$E$3^2 + (D28*$E$5)^2)</f>
        <v>0.0175319707962339</v>
      </c>
      <c r="G28" s="9" t="n">
        <f aca="false">ROUND(E28*$H$5, 2) + $H$3</f>
        <v>0.28</v>
      </c>
      <c r="H28" s="9"/>
      <c r="I28" s="9"/>
    </row>
    <row r="29" customFormat="false" ht="15" hidden="false" customHeight="false" outlineLevel="0" collapsed="false">
      <c r="C29" s="8" t="n">
        <v>0.1</v>
      </c>
      <c r="D29" s="8" t="n">
        <v>0.44</v>
      </c>
      <c r="E29" s="9" t="n">
        <v>16.45</v>
      </c>
      <c r="F29" s="10" t="n">
        <f aca="false">SQRT((0.5*C29/5)^2+$E$3^2 + (D29*$E$5)^2)</f>
        <v>0.0165604951616792</v>
      </c>
      <c r="G29" s="9" t="n">
        <f aca="false">ROUND(E29*$H$5, 2) + $H$3</f>
        <v>0.28</v>
      </c>
      <c r="H29" s="9"/>
      <c r="I29" s="9"/>
    </row>
    <row r="30" customFormat="false" ht="15" hidden="false" customHeight="false" outlineLevel="0" collapsed="false">
      <c r="C30" s="8" t="n">
        <v>0.1</v>
      </c>
      <c r="D30" s="8" t="n">
        <v>0.4</v>
      </c>
      <c r="E30" s="9" t="n">
        <v>16.19</v>
      </c>
      <c r="F30" s="10" t="n">
        <f aca="false">SQRT((0.5*C30/5)^2+$E$3^2 + (D30*$E$5)^2)</f>
        <v>0.0156208194407336</v>
      </c>
      <c r="G30" s="9" t="n">
        <f aca="false">ROUND(E30*$H$5, 2) + $H$3</f>
        <v>0.27</v>
      </c>
      <c r="H30" s="9"/>
      <c r="I30" s="9"/>
    </row>
    <row r="31" customFormat="false" ht="15" hidden="false" customHeight="false" outlineLevel="0" collapsed="false">
      <c r="C31" s="8" t="n">
        <v>0.1</v>
      </c>
      <c r="D31" s="8" t="n">
        <v>0.36</v>
      </c>
      <c r="E31" s="9" t="n">
        <v>15.83</v>
      </c>
      <c r="F31" s="10" t="n">
        <f aca="false">SQRT((0.5*C31/5)^2+$E$3^2 + (D31*$E$5)^2)</f>
        <v>0.014719035294475</v>
      </c>
      <c r="G31" s="9" t="n">
        <f aca="false">ROUND(E31*$H$5, 2) + $H$3</f>
        <v>0.27</v>
      </c>
      <c r="H31" s="9"/>
      <c r="I31" s="9"/>
    </row>
    <row r="32" customFormat="false" ht="15" hidden="false" customHeight="false" outlineLevel="0" collapsed="false">
      <c r="C32" s="8" t="n">
        <v>0.1</v>
      </c>
      <c r="D32" s="8" t="n">
        <v>0.32</v>
      </c>
      <c r="E32" s="9" t="n">
        <v>15.2</v>
      </c>
      <c r="F32" s="10" t="n">
        <f aca="false">SQRT((0.5*C32/5)^2+$E$3^2 + (D32*$E$5)^2)</f>
        <v>0.0138625394498988</v>
      </c>
      <c r="G32" s="9" t="n">
        <f aca="false">ROUND(E32*$H$5, 2) + $H$3</f>
        <v>0.26</v>
      </c>
      <c r="H32" s="9"/>
      <c r="I32" s="9"/>
    </row>
    <row r="33" customFormat="false" ht="15" hidden="false" customHeight="false" outlineLevel="0" collapsed="false">
      <c r="C33" s="8" t="n">
        <v>0.05</v>
      </c>
      <c r="D33" s="8" t="n">
        <v>0.3</v>
      </c>
      <c r="E33" s="9" t="n">
        <v>15.13</v>
      </c>
      <c r="F33" s="10" t="n">
        <f aca="false">SQRT((0.5*C33/5)^2+$E$3^2 + (D33*$E$5)^2)</f>
        <v>0.0102961157724649</v>
      </c>
      <c r="G33" s="9" t="n">
        <f aca="false">ROUND(E33*$H$5, 2) + $H$3</f>
        <v>0.26</v>
      </c>
      <c r="H33" s="9"/>
      <c r="I33" s="9"/>
    </row>
    <row r="34" customFormat="false" ht="15" hidden="false" customHeight="false" outlineLevel="0" collapsed="false">
      <c r="C34" s="8" t="n">
        <v>0.05</v>
      </c>
      <c r="D34" s="8" t="n">
        <v>0.25</v>
      </c>
      <c r="E34" s="9" t="n">
        <v>14</v>
      </c>
      <c r="F34" s="10" t="n">
        <f aca="false">SQRT((0.5*C34/5)^2+$E$3^2 + (D34*$E$5)^2)</f>
        <v>0.00901443287178955</v>
      </c>
      <c r="G34" s="9" t="n">
        <f aca="false">ROUND(E34*$H$5, 2) + $H$3</f>
        <v>0.24</v>
      </c>
      <c r="H34" s="9"/>
      <c r="I34" s="9"/>
    </row>
    <row r="35" customFormat="false" ht="15" hidden="false" customHeight="false" outlineLevel="0" collapsed="false">
      <c r="C35" s="8" t="n">
        <v>0.05</v>
      </c>
      <c r="D35" s="8" t="n">
        <v>0.2</v>
      </c>
      <c r="E35" s="9" t="n">
        <v>11.56</v>
      </c>
      <c r="F35" s="10" t="n">
        <f aca="false">SQRT((0.5*C35/5)^2+$E$3^2 + (D35*$E$5)^2)</f>
        <v>0.0078108898340714</v>
      </c>
      <c r="G35" s="9" t="n">
        <f aca="false">ROUND(E35*$H$5, 2) + $H$3</f>
        <v>0.2</v>
      </c>
      <c r="H35" s="9"/>
      <c r="I35" s="9"/>
    </row>
    <row r="36" customFormat="false" ht="15" hidden="false" customHeight="false" outlineLevel="0" collapsed="false">
      <c r="C36" s="8" t="n">
        <v>0.05</v>
      </c>
      <c r="D36" s="8" t="n">
        <v>0.15</v>
      </c>
      <c r="E36" s="9" t="n">
        <v>7</v>
      </c>
      <c r="F36" s="10" t="n">
        <f aca="false">SQRT((0.5*C36/5)^2+$E$3^2 + (D36*$E$5)^2)</f>
        <v>0.00672755527662166</v>
      </c>
      <c r="G36" s="9" t="n">
        <f aca="false">ROUND(E36*$H$5, 2) + $H$3</f>
        <v>0.14</v>
      </c>
      <c r="H36" s="9"/>
      <c r="I36" s="9"/>
    </row>
    <row r="37" customFormat="false" ht="15" hidden="false" customHeight="false" outlineLevel="0" collapsed="false">
      <c r="C37" s="8" t="n">
        <v>0.02</v>
      </c>
      <c r="D37" s="8" t="n">
        <v>0.12</v>
      </c>
      <c r="E37" s="9" t="n">
        <v>4.88</v>
      </c>
      <c r="F37" s="10" t="n">
        <f aca="false">SQRT((0.5*C37/5)^2+$E$3^2 + (D37*$E$5)^2)</f>
        <v>0.0041194659848092</v>
      </c>
      <c r="G37" s="9" t="n">
        <f aca="false">ROUND(E37*$H$5, 2) + $H$3</f>
        <v>0.1</v>
      </c>
      <c r="H37" s="9"/>
      <c r="I37" s="9"/>
    </row>
    <row r="38" customFormat="false" ht="15" hidden="false" customHeight="false" outlineLevel="0" collapsed="false">
      <c r="C38" s="8" t="n">
        <v>0.02</v>
      </c>
      <c r="D38" s="8" t="n">
        <v>0.1</v>
      </c>
      <c r="E38" s="9" t="n">
        <v>2.94</v>
      </c>
      <c r="F38" s="10" t="n">
        <f aca="false">SQRT((0.5*C38/5)^2+$E$3^2 + (D38*$E$5)^2)</f>
        <v>0.00360693775937429</v>
      </c>
      <c r="G38" s="9" t="n">
        <f aca="false">ROUND(E38*$H$5, 2) + $H$3</f>
        <v>0.07</v>
      </c>
      <c r="H38" s="9"/>
      <c r="I38" s="9"/>
    </row>
    <row r="39" customFormat="false" ht="15" hidden="false" customHeight="false" outlineLevel="0" collapsed="false">
      <c r="C39" s="8" t="n">
        <v>0.02</v>
      </c>
      <c r="D39" s="8" t="n">
        <v>0.08</v>
      </c>
      <c r="E39" s="9" t="n">
        <v>1.6</v>
      </c>
      <c r="F39" s="10" t="n">
        <f aca="false">SQRT((0.5*C39/5)^2+$E$3^2 + (D39*$E$5)^2)</f>
        <v>0.00312569992161756</v>
      </c>
      <c r="G39" s="9" t="n">
        <f aca="false">ROUND(E39*$H$5, 2) + $H$3</f>
        <v>0.05</v>
      </c>
      <c r="H39" s="9"/>
      <c r="I39" s="9"/>
    </row>
    <row r="40" customFormat="false" ht="15" hidden="false" customHeight="false" outlineLevel="0" collapsed="false">
      <c r="C40" s="8" t="n">
        <v>0.01</v>
      </c>
      <c r="D40" s="8" t="n">
        <v>0.06</v>
      </c>
      <c r="E40" s="9" t="n">
        <v>0.85</v>
      </c>
      <c r="F40" s="10" t="n">
        <f aca="false">SQRT((0.5*C40/5)^2+$E$3^2 + (D40*$E$5)^2)</f>
        <v>0.00206155281280883</v>
      </c>
      <c r="G40" s="9" t="n">
        <f aca="false">ROUND(E40*$H$5, 2) + $H$3</f>
        <v>0.04</v>
      </c>
      <c r="H40" s="9"/>
      <c r="I40" s="9"/>
    </row>
    <row r="41" customFormat="false" ht="15" hidden="false" customHeight="false" outlineLevel="0" collapsed="false">
      <c r="C41" s="8" t="n">
        <v>0.01</v>
      </c>
      <c r="D41" s="8" t="n">
        <v>0.05</v>
      </c>
      <c r="E41" s="9" t="n">
        <v>0.54</v>
      </c>
      <c r="F41" s="10" t="n">
        <f aca="false">SQRT((0.5*C41/5)^2+$E$3^2 + (D41*$E$5)^2)</f>
        <v>0.00180554700852678</v>
      </c>
      <c r="G41" s="9" t="n">
        <f aca="false">ROUND(E41*$H$5, 2) + $H$3</f>
        <v>0.04</v>
      </c>
      <c r="H41" s="9"/>
      <c r="I41" s="9"/>
    </row>
    <row r="50" customFormat="false" ht="15" hidden="false" customHeight="false" outlineLevel="0" collapsed="false">
      <c r="D50" s="4" t="n">
        <v>4</v>
      </c>
      <c r="E50" s="4" t="n">
        <v>20.1</v>
      </c>
      <c r="F50" s="4" t="n">
        <v>0.15620502552735</v>
      </c>
      <c r="G50" s="4" t="n">
        <v>0.33</v>
      </c>
    </row>
    <row r="51" customFormat="false" ht="15" hidden="false" customHeight="false" outlineLevel="0" collapsed="false">
      <c r="D51" s="4" t="n">
        <v>3.6</v>
      </c>
      <c r="E51" s="4" t="n">
        <v>19.8</v>
      </c>
      <c r="F51" s="4" t="n">
        <v>0.14718698991419</v>
      </c>
      <c r="G51" s="4" t="n">
        <v>0.33</v>
      </c>
    </row>
    <row r="52" customFormat="false" ht="15" hidden="false" customHeight="false" outlineLevel="0" collapsed="false">
      <c r="D52" s="4" t="n">
        <v>3.2</v>
      </c>
      <c r="E52" s="4" t="n">
        <v>19.54</v>
      </c>
      <c r="F52" s="4" t="n">
        <v>0.138621823678669</v>
      </c>
      <c r="G52" s="4" t="n">
        <v>0.32</v>
      </c>
    </row>
    <row r="53" customFormat="false" ht="15" hidden="false" customHeight="false" outlineLevel="0" collapsed="false">
      <c r="D53" s="4" t="n">
        <v>2.8</v>
      </c>
      <c r="E53" s="4" t="n">
        <v>19.17</v>
      </c>
      <c r="F53" s="4" t="n">
        <v>0.0977548464271721</v>
      </c>
      <c r="G53" s="4" t="n">
        <v>0.32</v>
      </c>
    </row>
    <row r="54" customFormat="false" ht="15" hidden="false" customHeight="false" outlineLevel="0" collapsed="false">
      <c r="D54" s="4" t="n">
        <v>2.4</v>
      </c>
      <c r="E54" s="4" t="n">
        <v>19.05</v>
      </c>
      <c r="F54" s="4" t="n">
        <v>0.0876584850428069</v>
      </c>
      <c r="G54" s="4" t="n">
        <v>0.32</v>
      </c>
    </row>
    <row r="55" customFormat="false" ht="15" hidden="false" customHeight="false" outlineLevel="0" collapsed="false">
      <c r="D55" s="4" t="n">
        <v>2</v>
      </c>
      <c r="E55" s="4" t="n">
        <v>18.81</v>
      </c>
      <c r="F55" s="4" t="n">
        <v>0.0781025607774803</v>
      </c>
      <c r="G55" s="4" t="n">
        <v>0.31</v>
      </c>
    </row>
    <row r="56" customFormat="false" ht="15" hidden="false" customHeight="false" outlineLevel="0" collapsed="false">
      <c r="D56" s="4" t="n">
        <v>1.8</v>
      </c>
      <c r="E56" s="4" t="n">
        <v>18.58</v>
      </c>
      <c r="F56" s="4" t="n">
        <v>0.0735935459126682</v>
      </c>
      <c r="G56" s="4" t="n">
        <v>0.31</v>
      </c>
    </row>
    <row r="57" customFormat="false" ht="15" hidden="false" customHeight="false" outlineLevel="0" collapsed="false">
      <c r="D57" s="4" t="n">
        <v>1.6</v>
      </c>
      <c r="E57" s="4" t="n">
        <v>18.4</v>
      </c>
      <c r="F57" s="4" t="n">
        <v>0.0693109659433484</v>
      </c>
      <c r="G57" s="4" t="n">
        <v>0.31</v>
      </c>
    </row>
    <row r="58" customFormat="false" ht="15" hidden="false" customHeight="false" outlineLevel="0" collapsed="false">
      <c r="D58" s="4" t="n">
        <v>1.4</v>
      </c>
      <c r="E58" s="4" t="n">
        <v>18.19</v>
      </c>
      <c r="F58" s="4" t="n">
        <v>0.0652993874396996</v>
      </c>
      <c r="G58" s="4" t="n">
        <v>0.3</v>
      </c>
    </row>
    <row r="59" customFormat="false" ht="15" hidden="false" customHeight="false" outlineLevel="0" collapsed="false">
      <c r="D59" s="4" t="n">
        <v>1.2</v>
      </c>
      <c r="E59" s="4" t="n">
        <v>18.06</v>
      </c>
      <c r="F59" s="4" t="n">
        <v>0.0411826419745018</v>
      </c>
      <c r="G59" s="4" t="n">
        <v>0.3</v>
      </c>
    </row>
    <row r="60" customFormat="false" ht="15" hidden="false" customHeight="false" outlineLevel="0" collapsed="false">
      <c r="D60" s="4" t="n">
        <v>1</v>
      </c>
      <c r="E60" s="4" t="n">
        <v>17.81</v>
      </c>
      <c r="F60" s="4" t="n">
        <v>0.0360556514294223</v>
      </c>
      <c r="G60" s="4" t="n">
        <v>0.3</v>
      </c>
    </row>
    <row r="61" customFormat="false" ht="15" hidden="false" customHeight="false" outlineLevel="0" collapsed="false">
      <c r="D61" s="4" t="n">
        <v>0.92</v>
      </c>
      <c r="E61" s="4" t="n">
        <v>17.65</v>
      </c>
      <c r="F61" s="4" t="n">
        <v>0.0340847473219327</v>
      </c>
      <c r="G61" s="4" t="n">
        <v>0.29</v>
      </c>
    </row>
    <row r="62" customFormat="false" ht="15" hidden="false" customHeight="false" outlineLevel="0" collapsed="false">
      <c r="D62" s="4" t="n">
        <v>0.84</v>
      </c>
      <c r="E62" s="4" t="n">
        <v>17.53</v>
      </c>
      <c r="F62" s="4" t="n">
        <v>0.0321721929622461</v>
      </c>
      <c r="G62" s="4" t="n">
        <v>0.29</v>
      </c>
    </row>
    <row r="63" customFormat="false" ht="15" hidden="false" customHeight="false" outlineLevel="0" collapsed="false">
      <c r="D63" s="4" t="n">
        <v>0.76</v>
      </c>
      <c r="E63" s="4" t="n">
        <v>17.38</v>
      </c>
      <c r="F63" s="4" t="n">
        <v>0.0303290289986343</v>
      </c>
      <c r="G63" s="4" t="n">
        <v>0.29</v>
      </c>
    </row>
    <row r="64" customFormat="false" ht="15" hidden="false" customHeight="false" outlineLevel="0" collapsed="false">
      <c r="D64" s="4" t="n">
        <v>0.68</v>
      </c>
      <c r="E64" s="4" t="n">
        <v>17.25</v>
      </c>
      <c r="F64" s="4" t="n">
        <v>0.0285686891543872</v>
      </c>
      <c r="G64" s="4" t="n">
        <v>0.29</v>
      </c>
    </row>
    <row r="65" customFormat="false" ht="15" hidden="false" customHeight="false" outlineLevel="0" collapsed="false">
      <c r="D65" s="4" t="n">
        <v>0.6</v>
      </c>
      <c r="E65" s="4" t="n">
        <v>17.14</v>
      </c>
      <c r="F65" s="4" t="n">
        <v>0.0205915031020079</v>
      </c>
      <c r="G65" s="4" t="n">
        <v>0.29</v>
      </c>
    </row>
    <row r="66" customFormat="false" ht="15" hidden="false" customHeight="false" outlineLevel="0" collapsed="false">
      <c r="D66" s="4" t="n">
        <v>0.56</v>
      </c>
      <c r="E66" s="4" t="n">
        <v>17</v>
      </c>
      <c r="F66" s="4" t="n">
        <v>0.0195512147960172</v>
      </c>
      <c r="G66" s="4" t="n">
        <v>0.29</v>
      </c>
    </row>
    <row r="67" customFormat="false" ht="15" hidden="false" customHeight="false" outlineLevel="0" collapsed="false">
      <c r="D67" s="4" t="n">
        <v>0.52</v>
      </c>
      <c r="E67" s="4" t="n">
        <v>16.86</v>
      </c>
      <c r="F67" s="4" t="n">
        <v>0.0185302455461335</v>
      </c>
      <c r="G67" s="4" t="n">
        <v>0.28</v>
      </c>
    </row>
    <row r="68" customFormat="false" ht="15" hidden="false" customHeight="false" outlineLevel="0" collapsed="false">
      <c r="D68" s="4" t="n">
        <v>0.48</v>
      </c>
      <c r="E68" s="4" t="n">
        <v>16.77</v>
      </c>
      <c r="F68" s="4" t="n">
        <v>0.0175319707962339</v>
      </c>
      <c r="G68" s="4" t="n">
        <v>0.28</v>
      </c>
    </row>
    <row r="69" customFormat="false" ht="15" hidden="false" customHeight="false" outlineLevel="0" collapsed="false">
      <c r="D69" s="4" t="n">
        <v>0.44</v>
      </c>
      <c r="E69" s="4" t="n">
        <v>16.45</v>
      </c>
      <c r="F69" s="4" t="n">
        <v>0.0165604951616792</v>
      </c>
      <c r="G69" s="4" t="n">
        <v>0.28</v>
      </c>
    </row>
    <row r="70" customFormat="false" ht="15" hidden="false" customHeight="false" outlineLevel="0" collapsed="false">
      <c r="D70" s="4" t="n">
        <v>0.4</v>
      </c>
      <c r="E70" s="4" t="n">
        <v>16.19</v>
      </c>
      <c r="F70" s="4" t="n">
        <v>0.0156208194407336</v>
      </c>
      <c r="G70" s="4" t="n">
        <v>0.27</v>
      </c>
    </row>
    <row r="71" customFormat="false" ht="15" hidden="false" customHeight="false" outlineLevel="0" collapsed="false">
      <c r="D71" s="4" t="n">
        <v>0.36</v>
      </c>
      <c r="E71" s="4" t="n">
        <v>15.83</v>
      </c>
      <c r="F71" s="4" t="n">
        <v>0.014719035294475</v>
      </c>
      <c r="G71" s="4" t="n">
        <v>0.27</v>
      </c>
    </row>
    <row r="72" customFormat="false" ht="15" hidden="false" customHeight="false" outlineLevel="0" collapsed="false">
      <c r="D72" s="4" t="n">
        <v>0.32</v>
      </c>
      <c r="E72" s="4" t="n">
        <v>15.2</v>
      </c>
      <c r="F72" s="4" t="n">
        <v>0.0138625394498988</v>
      </c>
      <c r="G72" s="4" t="n">
        <v>0.26</v>
      </c>
    </row>
    <row r="73" customFormat="false" ht="15" hidden="false" customHeight="false" outlineLevel="0" collapsed="false">
      <c r="D73" s="4" t="n">
        <v>0.3</v>
      </c>
      <c r="E73" s="4" t="n">
        <v>15.13</v>
      </c>
      <c r="F73" s="4" t="n">
        <v>0.0102961157724649</v>
      </c>
      <c r="G73" s="4" t="n">
        <v>0.26</v>
      </c>
    </row>
    <row r="74" customFormat="false" ht="15" hidden="false" customHeight="false" outlineLevel="0" collapsed="false">
      <c r="D74" s="4" t="n">
        <v>0.25</v>
      </c>
      <c r="E74" s="4" t="n">
        <v>14</v>
      </c>
      <c r="F74" s="4" t="n">
        <v>0.00901443287178955</v>
      </c>
      <c r="G74" s="4" t="n">
        <v>0.24</v>
      </c>
    </row>
    <row r="75" customFormat="false" ht="15" hidden="false" customHeight="false" outlineLevel="0" collapsed="false">
      <c r="D75" s="4" t="n">
        <v>0.2</v>
      </c>
      <c r="E75" s="4" t="n">
        <v>11.56</v>
      </c>
      <c r="F75" s="4" t="n">
        <v>0.0078108898340714</v>
      </c>
      <c r="G75" s="4" t="n">
        <v>0.2</v>
      </c>
    </row>
    <row r="76" customFormat="false" ht="15" hidden="false" customHeight="false" outlineLevel="0" collapsed="false">
      <c r="D76" s="4" t="n">
        <v>0.15</v>
      </c>
      <c r="E76" s="4" t="n">
        <v>7</v>
      </c>
      <c r="F76" s="4" t="n">
        <v>0.00672755527662166</v>
      </c>
      <c r="G76" s="4" t="n">
        <v>0.14</v>
      </c>
    </row>
    <row r="77" customFormat="false" ht="15" hidden="false" customHeight="false" outlineLevel="0" collapsed="false">
      <c r="D77" s="4" t="n">
        <v>0.12</v>
      </c>
      <c r="E77" s="4" t="n">
        <v>4.88</v>
      </c>
      <c r="F77" s="4" t="n">
        <v>0.0041194659848092</v>
      </c>
      <c r="G77" s="4" t="n">
        <v>0.1</v>
      </c>
    </row>
    <row r="78" customFormat="false" ht="15" hidden="false" customHeight="false" outlineLevel="0" collapsed="false">
      <c r="D78" s="4" t="n">
        <v>0.1</v>
      </c>
      <c r="E78" s="4" t="n">
        <v>2.94</v>
      </c>
      <c r="F78" s="4" t="n">
        <v>0.00360693775937429</v>
      </c>
      <c r="G78" s="4" t="n">
        <v>0.07</v>
      </c>
    </row>
    <row r="79" customFormat="false" ht="15" hidden="false" customHeight="false" outlineLevel="0" collapsed="false">
      <c r="D79" s="4" t="n">
        <v>0.08</v>
      </c>
      <c r="E79" s="4" t="n">
        <v>1.6</v>
      </c>
      <c r="F79" s="4" t="n">
        <v>0.00312569992161756</v>
      </c>
      <c r="G79" s="4" t="n">
        <v>0.05</v>
      </c>
    </row>
    <row r="80" customFormat="false" ht="15" hidden="false" customHeight="false" outlineLevel="0" collapsed="false">
      <c r="D80" s="4" t="n">
        <v>0.06</v>
      </c>
      <c r="E80" s="4" t="n">
        <v>0.85</v>
      </c>
      <c r="F80" s="4" t="n">
        <v>0.00206155281280883</v>
      </c>
      <c r="G80" s="4" t="n">
        <v>0.04</v>
      </c>
    </row>
    <row r="81" customFormat="false" ht="15" hidden="false" customHeight="false" outlineLevel="0" collapsed="false">
      <c r="D81" s="4" t="n">
        <v>0.05</v>
      </c>
      <c r="E81" s="4" t="n">
        <v>0.54</v>
      </c>
      <c r="F81" s="4" t="n">
        <v>0.00180554700852678</v>
      </c>
      <c r="G81" s="4" t="n">
        <v>0.04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K43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G9" activeCellId="0" sqref="G9"/>
    </sheetView>
  </sheetViews>
  <sheetFormatPr defaultColWidth="9.34375" defaultRowHeight="15" zeroHeight="false" outlineLevelRow="0" outlineLevelCol="0"/>
  <cols>
    <col collapsed="false" customWidth="false" hidden="false" outlineLevel="0" max="3" min="1" style="4" width="9.34"/>
    <col collapsed="false" customWidth="true" hidden="false" outlineLevel="0" max="4" min="4" style="4" width="20.05"/>
    <col collapsed="false" customWidth="false" hidden="false" outlineLevel="0" max="6" min="5" style="4" width="9.34"/>
    <col collapsed="false" customWidth="true" hidden="false" outlineLevel="0" max="7" min="7" style="4" width="21.21"/>
    <col collapsed="false" customWidth="false" hidden="false" outlineLevel="0" max="16384" min="8" style="4" width="9.34"/>
  </cols>
  <sheetData>
    <row r="4" customFormat="false" ht="15" hidden="false" customHeight="false" outlineLevel="0" collapsed="false">
      <c r="D4" s="5" t="s">
        <v>12</v>
      </c>
      <c r="E4" s="4" t="n">
        <v>0.001</v>
      </c>
    </row>
    <row r="5" customFormat="false" ht="15" hidden="false" customHeight="false" outlineLevel="0" collapsed="false">
      <c r="D5" s="5" t="s">
        <v>13</v>
      </c>
      <c r="E5" s="4" t="n">
        <f aca="false">0.5*E4/5</f>
        <v>0.0001</v>
      </c>
      <c r="G5" s="4" t="s">
        <v>14</v>
      </c>
      <c r="H5" s="4" t="n">
        <v>0.03</v>
      </c>
    </row>
    <row r="6" customFormat="false" ht="15" hidden="false" customHeight="false" outlineLevel="0" collapsed="false">
      <c r="D6" s="5"/>
    </row>
    <row r="7" customFormat="false" ht="15" hidden="false" customHeight="false" outlineLevel="0" collapsed="false">
      <c r="D7" s="5" t="s">
        <v>15</v>
      </c>
      <c r="E7" s="4" t="n">
        <v>0.03</v>
      </c>
      <c r="G7" s="4" t="s">
        <v>16</v>
      </c>
      <c r="H7" s="4" t="n">
        <v>0.015</v>
      </c>
    </row>
    <row r="11" customFormat="false" ht="15" hidden="false" customHeight="false" outlineLevel="0" collapsed="false">
      <c r="C11" s="6" t="s">
        <v>9</v>
      </c>
      <c r="D11" s="6" t="s">
        <v>10</v>
      </c>
      <c r="E11" s="7" t="s">
        <v>11</v>
      </c>
      <c r="F11" s="7"/>
      <c r="G11" s="7"/>
      <c r="H11" s="7"/>
      <c r="I11" s="7"/>
      <c r="J11" s="7"/>
      <c r="K11" s="7"/>
    </row>
    <row r="12" customFormat="false" ht="15" hidden="false" customHeight="false" outlineLevel="0" collapsed="false">
      <c r="C12" s="5" t="n">
        <v>1</v>
      </c>
      <c r="D12" s="5" t="n">
        <v>4</v>
      </c>
      <c r="E12" s="5" t="n">
        <v>9.78</v>
      </c>
    </row>
    <row r="13" customFormat="false" ht="15" hidden="false" customHeight="false" outlineLevel="0" collapsed="false">
      <c r="C13" s="5" t="n">
        <v>1</v>
      </c>
      <c r="D13" s="5" t="n">
        <v>3.6</v>
      </c>
      <c r="E13" s="5" t="n">
        <v>9.7</v>
      </c>
    </row>
    <row r="14" customFormat="false" ht="15" hidden="false" customHeight="false" outlineLevel="0" collapsed="false">
      <c r="C14" s="5" t="n">
        <v>1</v>
      </c>
      <c r="D14" s="5" t="n">
        <v>3.2</v>
      </c>
      <c r="E14" s="5" t="n">
        <v>9.58</v>
      </c>
    </row>
    <row r="15" customFormat="false" ht="15" hidden="false" customHeight="false" outlineLevel="0" collapsed="false">
      <c r="C15" s="5" t="n">
        <v>0.5</v>
      </c>
      <c r="D15" s="5" t="n">
        <v>2.8</v>
      </c>
      <c r="E15" s="5" t="n">
        <v>9.48</v>
      </c>
    </row>
    <row r="16" customFormat="false" ht="15" hidden="false" customHeight="false" outlineLevel="0" collapsed="false">
      <c r="C16" s="5" t="n">
        <v>0.5</v>
      </c>
      <c r="D16" s="5" t="n">
        <v>2.4</v>
      </c>
      <c r="E16" s="5" t="n">
        <v>9.31</v>
      </c>
    </row>
    <row r="17" customFormat="false" ht="15" hidden="false" customHeight="false" outlineLevel="0" collapsed="false">
      <c r="C17" s="5" t="n">
        <v>0.5</v>
      </c>
      <c r="D17" s="5" t="n">
        <v>2</v>
      </c>
      <c r="E17" s="5" t="n">
        <v>9.15</v>
      </c>
    </row>
    <row r="18" customFormat="false" ht="15" hidden="false" customHeight="false" outlineLevel="0" collapsed="false">
      <c r="C18" s="5" t="n">
        <v>0.5</v>
      </c>
      <c r="D18" s="5" t="n">
        <v>1.8</v>
      </c>
      <c r="E18" s="5" t="n">
        <v>9.05</v>
      </c>
    </row>
    <row r="19" customFormat="false" ht="15" hidden="false" customHeight="false" outlineLevel="0" collapsed="false">
      <c r="C19" s="5" t="n">
        <v>0.5</v>
      </c>
      <c r="D19" s="5" t="n">
        <v>1.6</v>
      </c>
      <c r="E19" s="5" t="n">
        <v>8.98</v>
      </c>
    </row>
    <row r="20" customFormat="false" ht="15" hidden="false" customHeight="false" outlineLevel="0" collapsed="false">
      <c r="C20" s="5" t="n">
        <v>0.5</v>
      </c>
      <c r="D20" s="5" t="n">
        <v>1.4</v>
      </c>
      <c r="E20" s="5" t="n">
        <v>8.91</v>
      </c>
    </row>
    <row r="21" customFormat="false" ht="15" hidden="false" customHeight="false" outlineLevel="0" collapsed="false">
      <c r="C21" s="5" t="n">
        <v>0.2</v>
      </c>
      <c r="D21" s="5" t="n">
        <v>1.2</v>
      </c>
      <c r="E21" s="5" t="n">
        <v>8.86</v>
      </c>
    </row>
    <row r="22" customFormat="false" ht="15" hidden="false" customHeight="false" outlineLevel="0" collapsed="false">
      <c r="C22" s="5" t="n">
        <v>0.2</v>
      </c>
      <c r="D22" s="5" t="n">
        <v>1</v>
      </c>
      <c r="E22" s="5" t="n">
        <v>8.77</v>
      </c>
    </row>
    <row r="23" customFormat="false" ht="15" hidden="false" customHeight="false" outlineLevel="0" collapsed="false">
      <c r="C23" s="5" t="n">
        <v>0.2</v>
      </c>
      <c r="D23" s="5" t="n">
        <v>0.92</v>
      </c>
      <c r="E23" s="5" t="n">
        <v>8.72</v>
      </c>
    </row>
    <row r="24" customFormat="false" ht="15" hidden="false" customHeight="false" outlineLevel="0" collapsed="false">
      <c r="C24" s="5" t="n">
        <v>0.2</v>
      </c>
      <c r="D24" s="5" t="n">
        <v>0.84</v>
      </c>
      <c r="E24" s="5" t="n">
        <v>8.68</v>
      </c>
    </row>
    <row r="25" customFormat="false" ht="15" hidden="false" customHeight="false" outlineLevel="0" collapsed="false">
      <c r="C25" s="5" t="n">
        <v>0.2</v>
      </c>
      <c r="D25" s="5" t="n">
        <v>0.76</v>
      </c>
      <c r="E25" s="5" t="n">
        <v>8.62</v>
      </c>
    </row>
    <row r="26" customFormat="false" ht="15" hidden="false" customHeight="false" outlineLevel="0" collapsed="false">
      <c r="C26" s="5" t="n">
        <v>0.2</v>
      </c>
      <c r="D26" s="5" t="n">
        <v>0.68</v>
      </c>
      <c r="E26" s="5" t="n">
        <v>8.58</v>
      </c>
    </row>
    <row r="27" customFormat="false" ht="15" hidden="false" customHeight="false" outlineLevel="0" collapsed="false">
      <c r="C27" s="5" t="n">
        <v>0.1</v>
      </c>
      <c r="D27" s="5" t="n">
        <v>0.6</v>
      </c>
      <c r="E27" s="5" t="n">
        <v>8.55</v>
      </c>
    </row>
    <row r="28" customFormat="false" ht="15" hidden="false" customHeight="false" outlineLevel="0" collapsed="false">
      <c r="C28" s="5" t="n">
        <v>0.1</v>
      </c>
      <c r="D28" s="5" t="n">
        <v>0.56</v>
      </c>
      <c r="E28" s="5" t="n">
        <v>8.51</v>
      </c>
    </row>
    <row r="29" customFormat="false" ht="15" hidden="false" customHeight="false" outlineLevel="0" collapsed="false">
      <c r="C29" s="5" t="n">
        <v>0.1</v>
      </c>
      <c r="D29" s="5" t="n">
        <v>0.52</v>
      </c>
      <c r="E29" s="5" t="n">
        <v>8.49</v>
      </c>
    </row>
    <row r="30" customFormat="false" ht="15" hidden="false" customHeight="false" outlineLevel="0" collapsed="false">
      <c r="C30" s="5" t="n">
        <v>0.1</v>
      </c>
      <c r="D30" s="5" t="n">
        <v>0.48</v>
      </c>
      <c r="E30" s="5" t="n">
        <v>8.46</v>
      </c>
    </row>
    <row r="31" customFormat="false" ht="15" hidden="false" customHeight="false" outlineLevel="0" collapsed="false">
      <c r="C31" s="5" t="n">
        <v>0.1</v>
      </c>
      <c r="D31" s="5" t="n">
        <v>0.44</v>
      </c>
      <c r="E31" s="5" t="n">
        <v>8.42</v>
      </c>
    </row>
    <row r="32" customFormat="false" ht="15" hidden="false" customHeight="false" outlineLevel="0" collapsed="false">
      <c r="C32" s="5" t="n">
        <v>0.1</v>
      </c>
      <c r="D32" s="5" t="n">
        <v>0.4</v>
      </c>
      <c r="E32" s="5" t="n">
        <v>8.38</v>
      </c>
    </row>
    <row r="33" customFormat="false" ht="15" hidden="false" customHeight="false" outlineLevel="0" collapsed="false">
      <c r="C33" s="5" t="n">
        <v>0.1</v>
      </c>
      <c r="D33" s="5" t="n">
        <v>0.36</v>
      </c>
      <c r="E33" s="5" t="n">
        <v>8.33</v>
      </c>
    </row>
    <row r="34" customFormat="false" ht="15" hidden="false" customHeight="false" outlineLevel="0" collapsed="false">
      <c r="C34" s="5" t="n">
        <v>0.1</v>
      </c>
      <c r="D34" s="5" t="n">
        <v>0.32</v>
      </c>
      <c r="E34" s="5" t="n">
        <v>8.24</v>
      </c>
    </row>
    <row r="35" customFormat="false" ht="15" hidden="false" customHeight="false" outlineLevel="0" collapsed="false">
      <c r="C35" s="5" t="n">
        <v>0.05</v>
      </c>
      <c r="D35" s="5" t="n">
        <v>0.3</v>
      </c>
      <c r="E35" s="5" t="n">
        <v>8.22</v>
      </c>
    </row>
    <row r="36" customFormat="false" ht="15" hidden="false" customHeight="false" outlineLevel="0" collapsed="false">
      <c r="C36" s="5" t="n">
        <v>0.05</v>
      </c>
      <c r="D36" s="5" t="n">
        <v>0.25</v>
      </c>
      <c r="E36" s="5" t="n">
        <v>7.86</v>
      </c>
    </row>
    <row r="37" customFormat="false" ht="15" hidden="false" customHeight="false" outlineLevel="0" collapsed="false">
      <c r="C37" s="5" t="n">
        <v>0.05</v>
      </c>
      <c r="D37" s="5" t="n">
        <v>0.2</v>
      </c>
      <c r="E37" s="5" t="n">
        <v>6.66</v>
      </c>
    </row>
    <row r="38" customFormat="false" ht="15" hidden="false" customHeight="false" outlineLevel="0" collapsed="false">
      <c r="C38" s="5" t="n">
        <v>0.05</v>
      </c>
      <c r="D38" s="5" t="n">
        <v>0.15</v>
      </c>
      <c r="E38" s="5" t="n">
        <v>3.95</v>
      </c>
    </row>
    <row r="39" customFormat="false" ht="15" hidden="false" customHeight="false" outlineLevel="0" collapsed="false">
      <c r="C39" s="5" t="n">
        <v>0.02</v>
      </c>
      <c r="D39" s="5" t="n">
        <v>0.12</v>
      </c>
      <c r="E39" s="5" t="n">
        <v>2.62</v>
      </c>
    </row>
    <row r="40" customFormat="false" ht="15" hidden="false" customHeight="false" outlineLevel="0" collapsed="false">
      <c r="C40" s="5" t="n">
        <v>0.02</v>
      </c>
      <c r="D40" s="5" t="n">
        <v>0.1</v>
      </c>
      <c r="E40" s="5" t="n">
        <v>1.52</v>
      </c>
    </row>
    <row r="41" customFormat="false" ht="15" hidden="false" customHeight="false" outlineLevel="0" collapsed="false">
      <c r="C41" s="5" t="n">
        <v>0.02</v>
      </c>
      <c r="D41" s="5" t="n">
        <v>0.08</v>
      </c>
      <c r="E41" s="5" t="n">
        <v>0.8</v>
      </c>
    </row>
    <row r="42" customFormat="false" ht="15" hidden="false" customHeight="false" outlineLevel="0" collapsed="false">
      <c r="C42" s="5" t="n">
        <v>0.01</v>
      </c>
      <c r="D42" s="5" t="n">
        <v>0.06</v>
      </c>
      <c r="E42" s="5" t="n">
        <v>0.41</v>
      </c>
    </row>
    <row r="43" customFormat="false" ht="15" hidden="false" customHeight="false" outlineLevel="0" collapsed="false">
      <c r="C43" s="5" t="n">
        <v>0.01</v>
      </c>
      <c r="D43" s="5" t="n">
        <v>0.05</v>
      </c>
      <c r="E43" s="5" t="n">
        <v>0.25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2025-12-11T13:20:26Z</dcterms:created>
  <dc:creator>Francesco Caprara</dc:creator>
  <dc:description/>
  <dc:language>en-US</dc:language>
  <cp:lastModifiedBy/>
  <dcterms:modified xsi:type="dcterms:W3CDTF">2025-12-16T16:27:31Z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